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BUMDES\BALONGBESUK 2023\05\"/>
    </mc:Choice>
  </mc:AlternateContent>
  <bookViews>
    <workbookView xWindow="0" yWindow="0" windowWidth="20490" windowHeight="7605" tabRatio="601" firstSheet="2" activeTab="4"/>
  </bookViews>
  <sheets>
    <sheet name="SUM ppob" sheetId="12" r:id="rId1"/>
    <sheet name="hutang sewa" sheetId="18" r:id="rId2"/>
    <sheet name="Sheet1" sheetId="17" r:id="rId3"/>
    <sheet name="BANK" sheetId="2" r:id="rId4"/>
    <sheet name="piutang" sheetId="1" r:id="rId5"/>
    <sheet name="CTH lapak" sheetId="11" r:id="rId6"/>
    <sheet name="SUM LAPAK" sheetId="19" r:id="rId7"/>
    <sheet name="cth sp" sheetId="5" r:id="rId8"/>
    <sheet name="cth gEDUNG" sheetId="10" r:id="rId9"/>
    <sheet name="CTH BUMDES" sheetId="14" r:id="rId10"/>
    <sheet name="sum sp" sheetId="4" r:id="rId11"/>
    <sheet name="gedung" sheetId="13" r:id="rId12"/>
    <sheet name="bumdes" sheetId="15" r:id="rId13"/>
    <sheet name="tabungan" sheetId="3" r:id="rId14"/>
    <sheet name="NERACA" sheetId="8" r:id="rId15"/>
    <sheet name="PERUBAHAN MODAL" sheetId="7" r:id="rId16"/>
    <sheet name="LAPORAN LABA" sheetId="6" r:id="rId17"/>
    <sheet name="AKTIVA" sheetId="16" r:id="rId18"/>
    <sheet name="Notes" sheetId="20" r:id="rId19"/>
  </sheets>
  <externalReferences>
    <externalReference r:id="rId20"/>
  </externalReferences>
  <definedNames>
    <definedName name="_xlnm._FilterDatabase" localSheetId="7" hidden="1">'cth sp'!$A$8:$W$110</definedName>
    <definedName name="_xlnm._FilterDatabase" localSheetId="4" hidden="1">piutang!$A$8:$T$86</definedName>
    <definedName name="_xlnm._FilterDatabase" localSheetId="13" hidden="1">tabungan!$A$6:$N$73</definedName>
    <definedName name="_xlnm.Print_Area" localSheetId="9">'CTH BUMDES'!$A$1:$M$140</definedName>
    <definedName name="_xlnm.Print_Area" localSheetId="8">'cth gEDUNG'!$A$1:$L$288</definedName>
    <definedName name="_xlnm.Print_Area" localSheetId="5">'CTH lapak'!$A$1:$L$29</definedName>
    <definedName name="_xlnm.Print_Area" localSheetId="7">'cth sp'!$A$1:$T$391</definedName>
    <definedName name="_xlnm.Print_Area" localSheetId="11">gedung!$A$1:$J$121</definedName>
    <definedName name="_xlnm.Print_Area" localSheetId="16">'LAPORAN LABA'!$A$1:$I$77</definedName>
    <definedName name="_xlnm.Print_Area" localSheetId="14">NERACA!$B$1:$L$43</definedName>
    <definedName name="_xlnm.Print_Area" localSheetId="4">piutang!$A$1:$M$96</definedName>
    <definedName name="_xlnm.Print_Area" localSheetId="0">'SUM ppob'!$B$1:$K$108</definedName>
    <definedName name="_xlnm.Print_Area" localSheetId="10">'sum sp'!$A$1:$G$80</definedName>
  </definedNames>
  <calcPr calcId="162913"/>
</workbook>
</file>

<file path=xl/calcChain.xml><?xml version="1.0" encoding="utf-8"?>
<calcChain xmlns="http://schemas.openxmlformats.org/spreadsheetml/2006/main">
  <c r="G35" i="6" l="1"/>
  <c r="K33" i="8"/>
  <c r="H4" i="14"/>
  <c r="G93" i="14"/>
  <c r="M19" i="8"/>
  <c r="M18" i="8"/>
  <c r="H107" i="5" l="1"/>
  <c r="H106" i="5"/>
  <c r="H105" i="5"/>
  <c r="H104" i="5"/>
  <c r="H103" i="5"/>
  <c r="H102" i="5"/>
  <c r="H101" i="5"/>
  <c r="H100" i="5"/>
  <c r="H99" i="5"/>
  <c r="H98" i="5"/>
  <c r="H97" i="5"/>
  <c r="H96" i="5"/>
  <c r="H95" i="5"/>
  <c r="H94" i="5"/>
  <c r="H93" i="5"/>
  <c r="H92" i="5"/>
  <c r="H91" i="5"/>
  <c r="H90" i="5"/>
  <c r="H89" i="5"/>
  <c r="H88" i="5"/>
  <c r="H87" i="5"/>
  <c r="H86" i="5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M84" i="14" l="1"/>
  <c r="M85" i="14" s="1"/>
  <c r="M86" i="14" s="1"/>
  <c r="M87" i="14" s="1"/>
  <c r="M88" i="14" s="1"/>
  <c r="M89" i="14" s="1"/>
  <c r="M90" i="14" s="1"/>
  <c r="M91" i="14" s="1"/>
  <c r="H10" i="14"/>
  <c r="E120" i="15" l="1"/>
  <c r="L25" i="8" l="1"/>
  <c r="E42" i="6" l="1"/>
  <c r="G41" i="6"/>
  <c r="E47" i="6"/>
  <c r="D42" i="4"/>
  <c r="D13" i="4"/>
  <c r="I130" i="14" l="1"/>
  <c r="J60" i="15"/>
  <c r="K60" i="15" s="1"/>
  <c r="E101" i="15" s="1"/>
  <c r="J63" i="15"/>
  <c r="M127" i="14"/>
  <c r="M128" i="14"/>
  <c r="D13" i="7" l="1"/>
  <c r="K59" i="15"/>
  <c r="L26" i="8"/>
  <c r="O6" i="5"/>
  <c r="S6" i="5"/>
  <c r="I4" i="14"/>
  <c r="M72" i="14"/>
  <c r="E44" i="6"/>
  <c r="J66" i="15"/>
  <c r="J17" i="15"/>
  <c r="I17" i="15"/>
  <c r="H17" i="15"/>
  <c r="G17" i="15"/>
  <c r="F17" i="15"/>
  <c r="E17" i="15"/>
  <c r="I66" i="15"/>
  <c r="H66" i="15"/>
  <c r="G66" i="15"/>
  <c r="F66" i="15"/>
  <c r="E66" i="15"/>
  <c r="D66" i="15"/>
  <c r="K7" i="16"/>
  <c r="L15" i="16"/>
  <c r="L14" i="16"/>
  <c r="L13" i="16"/>
  <c r="L12" i="16"/>
  <c r="K18" i="16"/>
  <c r="J18" i="16"/>
  <c r="I18" i="16"/>
  <c r="H18" i="16"/>
  <c r="G18" i="16"/>
  <c r="F18" i="16"/>
  <c r="N17" i="16"/>
  <c r="N16" i="16"/>
  <c r="N15" i="16"/>
  <c r="M17" i="16"/>
  <c r="M16" i="16"/>
  <c r="M15" i="16"/>
  <c r="H5" i="11"/>
  <c r="G26" i="11"/>
  <c r="H26" i="11"/>
  <c r="F26" i="11"/>
  <c r="E26" i="11"/>
  <c r="E35" i="6"/>
  <c r="K66" i="15" l="1"/>
  <c r="G22" i="6" s="1"/>
  <c r="L18" i="16"/>
  <c r="I281" i="10" l="1"/>
  <c r="L64" i="10"/>
  <c r="L65" i="10" s="1"/>
  <c r="L66" i="10" s="1"/>
  <c r="L67" i="10" s="1"/>
  <c r="L38" i="10"/>
  <c r="L39" i="10" s="1"/>
  <c r="L40" i="10" s="1"/>
  <c r="L41" i="10" s="1"/>
  <c r="L42" i="10" s="1"/>
  <c r="L43" i="10" s="1"/>
  <c r="L44" i="10" s="1"/>
  <c r="L45" i="10" s="1"/>
  <c r="L46" i="10" s="1"/>
  <c r="L47" i="10" s="1"/>
  <c r="L48" i="10" s="1"/>
  <c r="L49" i="10" s="1"/>
  <c r="I275" i="10" l="1"/>
  <c r="I274" i="10"/>
  <c r="E159" i="10"/>
  <c r="E27" i="10"/>
  <c r="F155" i="3" l="1"/>
  <c r="F163" i="3"/>
  <c r="F162" i="3"/>
  <c r="F161" i="3"/>
  <c r="F160" i="3"/>
  <c r="F159" i="3"/>
  <c r="F158" i="3"/>
  <c r="F157" i="3"/>
  <c r="F156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L11" i="11"/>
  <c r="L12" i="11" s="1"/>
  <c r="L13" i="11" s="1"/>
  <c r="L14" i="11" s="1"/>
  <c r="L15" i="11" s="1"/>
  <c r="L16" i="11" s="1"/>
  <c r="L17" i="11" s="1"/>
  <c r="L18" i="11" s="1"/>
  <c r="L19" i="11" s="1"/>
  <c r="L20" i="11" s="1"/>
  <c r="L23" i="11" s="1"/>
  <c r="L25" i="11" s="1"/>
  <c r="C23" i="2"/>
  <c r="E114" i="15" s="1"/>
  <c r="G28" i="6" l="1"/>
  <c r="J96" i="15"/>
  <c r="K9" i="16" l="1"/>
  <c r="F72" i="3" l="1"/>
  <c r="K72" i="3"/>
  <c r="J72" i="3"/>
  <c r="I72" i="3"/>
  <c r="H72" i="3"/>
  <c r="G72" i="3"/>
  <c r="L72" i="3" l="1"/>
  <c r="M72" i="3"/>
  <c r="H27" i="10" l="1"/>
  <c r="G27" i="10"/>
  <c r="D11" i="13" s="1"/>
  <c r="F27" i="10"/>
  <c r="D13" i="13"/>
  <c r="E225" i="10"/>
  <c r="A3" i="10"/>
  <c r="A3" i="11" l="1"/>
  <c r="K8" i="16"/>
  <c r="K14" i="16"/>
  <c r="K13" i="16"/>
  <c r="K12" i="16"/>
  <c r="K11" i="16"/>
  <c r="K10" i="16"/>
  <c r="J7" i="16"/>
  <c r="D26" i="2" l="1"/>
  <c r="B30" i="2"/>
  <c r="C81" i="3"/>
  <c r="B117" i="13"/>
  <c r="I26" i="16"/>
  <c r="I25" i="16"/>
  <c r="D26" i="16"/>
  <c r="D25" i="16"/>
  <c r="C129" i="15"/>
  <c r="C67" i="6"/>
  <c r="B77" i="6"/>
  <c r="E21" i="6" l="1"/>
  <c r="F16" i="6"/>
  <c r="E16" i="6"/>
  <c r="E13" i="6"/>
  <c r="F27" i="8"/>
  <c r="J80" i="15"/>
  <c r="I80" i="15"/>
  <c r="H80" i="15"/>
  <c r="G80" i="15"/>
  <c r="F80" i="15"/>
  <c r="E80" i="15"/>
  <c r="J79" i="15"/>
  <c r="I79" i="15"/>
  <c r="H79" i="15"/>
  <c r="G79" i="15"/>
  <c r="F79" i="15"/>
  <c r="E79" i="15"/>
  <c r="J78" i="15"/>
  <c r="I78" i="15"/>
  <c r="H78" i="15"/>
  <c r="G78" i="15"/>
  <c r="F78" i="15"/>
  <c r="E78" i="15"/>
  <c r="E10" i="4"/>
  <c r="D10" i="4"/>
  <c r="F108" i="5"/>
  <c r="G159" i="5"/>
  <c r="J14" i="16" l="1"/>
  <c r="M14" i="16" s="1"/>
  <c r="N14" i="16" s="1"/>
  <c r="G139" i="14"/>
  <c r="J32" i="15"/>
  <c r="I32" i="15"/>
  <c r="H32" i="15"/>
  <c r="G32" i="15"/>
  <c r="F32" i="15"/>
  <c r="E32" i="15"/>
  <c r="J36" i="15"/>
  <c r="I36" i="15"/>
  <c r="H36" i="15"/>
  <c r="G36" i="15"/>
  <c r="F36" i="15"/>
  <c r="E36" i="15"/>
  <c r="K32" i="15" l="1"/>
  <c r="D80" i="15" s="1"/>
  <c r="K36" i="15"/>
  <c r="D84" i="15" s="1"/>
  <c r="K84" i="15" s="1"/>
  <c r="E40" i="8" l="1"/>
  <c r="E39" i="8"/>
  <c r="N12" i="18" l="1"/>
  <c r="F30" i="18"/>
  <c r="F29" i="18"/>
  <c r="F12" i="18"/>
  <c r="H16" i="18"/>
  <c r="I16" i="18" s="1"/>
  <c r="H15" i="18"/>
  <c r="I15" i="18" s="1"/>
  <c r="H14" i="18"/>
  <c r="I14" i="18" s="1"/>
  <c r="H13" i="18"/>
  <c r="I13" i="18" s="1"/>
  <c r="H12" i="18"/>
  <c r="I12" i="18" s="1"/>
  <c r="H11" i="18"/>
  <c r="I11" i="18" s="1"/>
  <c r="H10" i="18"/>
  <c r="I10" i="18" s="1"/>
  <c r="H9" i="18"/>
  <c r="I9" i="18" s="1"/>
  <c r="H8" i="18"/>
  <c r="I8" i="18" s="1"/>
  <c r="H7" i="18"/>
  <c r="I7" i="18" s="1"/>
  <c r="H6" i="18"/>
  <c r="I6" i="18" s="1"/>
  <c r="H5" i="18"/>
  <c r="I5" i="18" s="1"/>
  <c r="M35" i="18"/>
  <c r="N5" i="18"/>
  <c r="G3" i="18"/>
  <c r="N34" i="18"/>
  <c r="N33" i="18"/>
  <c r="N32" i="18"/>
  <c r="N31" i="18"/>
  <c r="N28" i="18"/>
  <c r="N27" i="18"/>
  <c r="N26" i="18"/>
  <c r="N25" i="18"/>
  <c r="N24" i="18"/>
  <c r="N23" i="18"/>
  <c r="N22" i="18"/>
  <c r="N21" i="18"/>
  <c r="N20" i="18"/>
  <c r="N19" i="18"/>
  <c r="N18" i="18"/>
  <c r="N17" i="18"/>
  <c r="N16" i="18"/>
  <c r="N15" i="18"/>
  <c r="N14" i="18"/>
  <c r="N11" i="18"/>
  <c r="N10" i="18"/>
  <c r="N9" i="18"/>
  <c r="N8" i="18"/>
  <c r="N7" i="18"/>
  <c r="G35" i="18"/>
  <c r="I26" i="18"/>
  <c r="I25" i="18"/>
  <c r="I24" i="18"/>
  <c r="I23" i="18"/>
  <c r="I22" i="18"/>
  <c r="I21" i="18"/>
  <c r="I20" i="18"/>
  <c r="I19" i="18"/>
  <c r="I18" i="18"/>
  <c r="I17" i="18"/>
  <c r="H34" i="18"/>
  <c r="I34" i="18" s="1"/>
  <c r="H33" i="18"/>
  <c r="I33" i="18" s="1"/>
  <c r="H32" i="18"/>
  <c r="I32" i="18" s="1"/>
  <c r="H31" i="18"/>
  <c r="I31" i="18" s="1"/>
  <c r="H30" i="18"/>
  <c r="I30" i="18" s="1"/>
  <c r="H29" i="18"/>
  <c r="I29" i="18" s="1"/>
  <c r="H28" i="18"/>
  <c r="I28" i="18" s="1"/>
  <c r="H27" i="18"/>
  <c r="I27" i="18" s="1"/>
  <c r="L34" i="18"/>
  <c r="L33" i="18"/>
  <c r="L32" i="18"/>
  <c r="L31" i="18"/>
  <c r="L30" i="18"/>
  <c r="N30" i="18" s="1"/>
  <c r="L29" i="18"/>
  <c r="N29" i="18" s="1"/>
  <c r="L28" i="18"/>
  <c r="L27" i="18"/>
  <c r="L26" i="18"/>
  <c r="L25" i="18"/>
  <c r="L24" i="18"/>
  <c r="L23" i="18"/>
  <c r="L22" i="18"/>
  <c r="L21" i="18"/>
  <c r="L20" i="18"/>
  <c r="L19" i="18"/>
  <c r="L18" i="18"/>
  <c r="L17" i="18"/>
  <c r="L16" i="18"/>
  <c r="L15" i="18"/>
  <c r="L14" i="18"/>
  <c r="L13" i="18"/>
  <c r="N13" i="18" s="1"/>
  <c r="L12" i="18"/>
  <c r="L11" i="18"/>
  <c r="L10" i="18"/>
  <c r="L9" i="18"/>
  <c r="L8" i="18"/>
  <c r="L7" i="18"/>
  <c r="L6" i="18"/>
  <c r="N6" i="18" s="1"/>
  <c r="L5" i="18"/>
  <c r="N35" i="18" l="1"/>
  <c r="L35" i="18"/>
  <c r="D3" i="18" l="1"/>
  <c r="J13" i="16" l="1"/>
  <c r="J12" i="16"/>
  <c r="J11" i="16"/>
  <c r="J10" i="16"/>
  <c r="J9" i="16"/>
  <c r="J8" i="16"/>
  <c r="I7" i="16"/>
  <c r="J81" i="13" l="1"/>
  <c r="E136" i="10"/>
  <c r="I11" i="13" s="1"/>
  <c r="I35" i="13"/>
  <c r="H35" i="13"/>
  <c r="G35" i="13"/>
  <c r="F35" i="13"/>
  <c r="E35" i="13"/>
  <c r="D35" i="13"/>
  <c r="J35" i="13" l="1"/>
  <c r="C80" i="13" s="1"/>
  <c r="J80" i="13" s="1"/>
  <c r="E108" i="5" l="1"/>
  <c r="S19" i="1"/>
  <c r="K15" i="8"/>
  <c r="E109" i="5" l="1"/>
  <c r="F43" i="14" l="1"/>
  <c r="J27" i="8" l="1"/>
  <c r="D11" i="8"/>
  <c r="H130" i="14"/>
  <c r="G108" i="5" l="1"/>
  <c r="C32" i="19"/>
  <c r="C31" i="19" s="1"/>
  <c r="I12" i="16"/>
  <c r="J20" i="8" l="1"/>
  <c r="K80" i="15"/>
  <c r="C22" i="19"/>
  <c r="D15" i="8" l="1"/>
  <c r="D36" i="18" l="1"/>
  <c r="F42" i="1"/>
  <c r="H114" i="14" l="1"/>
  <c r="F114" i="14"/>
  <c r="F5" i="18"/>
  <c r="H159" i="5"/>
  <c r="F159" i="5"/>
  <c r="E159" i="5"/>
  <c r="S159" i="5"/>
  <c r="R159" i="5"/>
  <c r="O159" i="5"/>
  <c r="N159" i="5"/>
  <c r="R4" i="1"/>
  <c r="E49" i="4"/>
  <c r="E47" i="4"/>
  <c r="E46" i="4"/>
  <c r="E43" i="4"/>
  <c r="E42" i="4"/>
  <c r="E39" i="4"/>
  <c r="E38" i="4"/>
  <c r="E37" i="4"/>
  <c r="E36" i="4"/>
  <c r="E35" i="4"/>
  <c r="E34" i="4"/>
  <c r="E28" i="4"/>
  <c r="E26" i="4"/>
  <c r="E25" i="4"/>
  <c r="E24" i="4"/>
  <c r="E20" i="4"/>
  <c r="E19" i="4"/>
  <c r="E18" i="4"/>
  <c r="E14" i="4"/>
  <c r="E13" i="4"/>
  <c r="E23" i="4" l="1"/>
  <c r="E22" i="4" s="1"/>
  <c r="E12" i="4"/>
  <c r="E45" i="4"/>
  <c r="E41" i="4"/>
  <c r="E17" i="4"/>
  <c r="E16" i="4" s="1"/>
  <c r="G89" i="10"/>
  <c r="J3" i="18" l="1"/>
  <c r="C29" i="19"/>
  <c r="D29" i="19" s="1"/>
  <c r="C28" i="19"/>
  <c r="D28" i="19" s="1"/>
  <c r="C27" i="19"/>
  <c r="D27" i="19" s="1"/>
  <c r="C26" i="19"/>
  <c r="D26" i="19" s="1"/>
  <c r="C25" i="19"/>
  <c r="D25" i="19" s="1"/>
  <c r="C24" i="19"/>
  <c r="D24" i="19" s="1"/>
  <c r="C23" i="19"/>
  <c r="C36" i="19"/>
  <c r="C38" i="19"/>
  <c r="D38" i="19" s="1"/>
  <c r="C53" i="19" s="1"/>
  <c r="C33" i="19"/>
  <c r="D32" i="19"/>
  <c r="D31" i="19" s="1"/>
  <c r="C16" i="19"/>
  <c r="C15" i="19" s="1"/>
  <c r="C14" i="19"/>
  <c r="C13" i="19"/>
  <c r="B68" i="19"/>
  <c r="D35" i="18"/>
  <c r="E36" i="18"/>
  <c r="J35" i="18"/>
  <c r="H35" i="18"/>
  <c r="F34" i="18"/>
  <c r="F33" i="18"/>
  <c r="F32" i="18"/>
  <c r="F31" i="18"/>
  <c r="F28" i="18"/>
  <c r="F27" i="18"/>
  <c r="O26" i="11"/>
  <c r="N26" i="11"/>
  <c r="K26" i="11"/>
  <c r="P8" i="11"/>
  <c r="P9" i="11" s="1"/>
  <c r="L8" i="11"/>
  <c r="L9" i="11" s="1"/>
  <c r="D23" i="19" l="1"/>
  <c r="C21" i="19"/>
  <c r="C20" i="19" s="1"/>
  <c r="D36" i="19"/>
  <c r="C52" i="19" s="1"/>
  <c r="J26" i="11"/>
  <c r="D22" i="19"/>
  <c r="C12" i="19"/>
  <c r="C18" i="19" s="1"/>
  <c r="D14" i="19"/>
  <c r="C51" i="19"/>
  <c r="D13" i="19"/>
  <c r="D10" i="19"/>
  <c r="D16" i="19"/>
  <c r="E9" i="1"/>
  <c r="E418" i="5"/>
  <c r="T85" i="1"/>
  <c r="C45" i="19" l="1"/>
  <c r="K35" i="18"/>
  <c r="D21" i="19"/>
  <c r="D20" i="19" s="1"/>
  <c r="C34" i="19"/>
  <c r="C39" i="19" s="1"/>
  <c r="D35" i="19"/>
  <c r="D15" i="19"/>
  <c r="D12" i="19"/>
  <c r="C44" i="19" l="1"/>
  <c r="C46" i="19" s="1"/>
  <c r="C40" i="19"/>
  <c r="D34" i="19"/>
  <c r="C50" i="19"/>
  <c r="D18" i="19"/>
  <c r="W121" i="5"/>
  <c r="G37" i="6" l="1"/>
  <c r="C54" i="19"/>
  <c r="C55" i="19" s="1"/>
  <c r="G14" i="6"/>
  <c r="G13" i="6" s="1"/>
  <c r="D39" i="19"/>
  <c r="D40" i="19" s="1"/>
  <c r="R85" i="1"/>
  <c r="Q85" i="1"/>
  <c r="P85" i="1"/>
  <c r="O85" i="1"/>
  <c r="P1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8" i="1"/>
  <c r="S17" i="1"/>
  <c r="S16" i="1"/>
  <c r="S15" i="1"/>
  <c r="S14" i="1"/>
  <c r="S13" i="1"/>
  <c r="S12" i="1"/>
  <c r="S11" i="1"/>
  <c r="S10" i="1"/>
  <c r="S9" i="1"/>
  <c r="O86" i="1" l="1"/>
  <c r="S85" i="1"/>
  <c r="S86" i="1" s="1"/>
  <c r="F65" i="1"/>
  <c r="D29" i="8" l="1"/>
  <c r="D10" i="8"/>
  <c r="D18" i="8"/>
  <c r="D17" i="8" s="1"/>
  <c r="M13" i="16"/>
  <c r="I13" i="16"/>
  <c r="I11" i="16"/>
  <c r="I10" i="16"/>
  <c r="I9" i="16"/>
  <c r="I8" i="16"/>
  <c r="E29" i="6"/>
  <c r="E9" i="6"/>
  <c r="E24" i="6" s="1"/>
  <c r="I60" i="13"/>
  <c r="H60" i="13"/>
  <c r="G60" i="13"/>
  <c r="F60" i="13"/>
  <c r="E60" i="13"/>
  <c r="D60" i="13"/>
  <c r="I75" i="13"/>
  <c r="H75" i="13"/>
  <c r="G75" i="13"/>
  <c r="F75" i="13"/>
  <c r="E75" i="13"/>
  <c r="D75" i="13"/>
  <c r="I30" i="13"/>
  <c r="H30" i="13"/>
  <c r="G30" i="13"/>
  <c r="F30" i="13"/>
  <c r="E30" i="13"/>
  <c r="D30" i="13"/>
  <c r="I16" i="13"/>
  <c r="H16" i="13"/>
  <c r="G16" i="13"/>
  <c r="F16" i="13"/>
  <c r="E16" i="13"/>
  <c r="D16" i="13"/>
  <c r="H182" i="10"/>
  <c r="H183" i="10" s="1"/>
  <c r="G182" i="10"/>
  <c r="F182" i="10"/>
  <c r="F183" i="10" s="1"/>
  <c r="E182" i="10"/>
  <c r="E28" i="10"/>
  <c r="J16" i="13" l="1"/>
  <c r="C60" i="13" s="1"/>
  <c r="J60" i="13" s="1"/>
  <c r="G20" i="6" s="1"/>
  <c r="J30" i="13"/>
  <c r="C75" i="13" s="1"/>
  <c r="J75" i="13" s="1"/>
  <c r="E31" i="6"/>
  <c r="E49" i="6" s="1"/>
  <c r="E51" i="6" s="1"/>
  <c r="E61" i="6" s="1"/>
  <c r="F26" i="18" l="1"/>
  <c r="F25" i="18"/>
  <c r="F24" i="18"/>
  <c r="F23" i="18"/>
  <c r="F22" i="18"/>
  <c r="F21" i="18"/>
  <c r="F20" i="18"/>
  <c r="F19" i="18"/>
  <c r="F18" i="18"/>
  <c r="F17" i="18"/>
  <c r="F16" i="18"/>
  <c r="F15" i="18"/>
  <c r="F14" i="18"/>
  <c r="F13" i="18"/>
  <c r="F11" i="18"/>
  <c r="F10" i="18"/>
  <c r="F9" i="18"/>
  <c r="F8" i="18"/>
  <c r="F7" i="18"/>
  <c r="F6" i="18"/>
  <c r="E60" i="6" l="1"/>
  <c r="F35" i="18"/>
  <c r="F36" i="18" s="1"/>
  <c r="I35" i="18"/>
  <c r="D30" i="2"/>
  <c r="A4" i="2"/>
  <c r="A3" i="2"/>
  <c r="A2" i="2"/>
  <c r="A1" i="2"/>
  <c r="A3" i="5" l="1"/>
  <c r="A2" i="5"/>
  <c r="A1" i="5"/>
  <c r="D30" i="7" l="1"/>
  <c r="D29" i="7"/>
  <c r="D63" i="6"/>
  <c r="G41" i="15"/>
  <c r="G40" i="15"/>
  <c r="G39" i="15"/>
  <c r="I25" i="14"/>
  <c r="G48" i="15" s="1"/>
  <c r="J29" i="8"/>
  <c r="J22" i="8"/>
  <c r="K81" i="15"/>
  <c r="J65" i="15"/>
  <c r="I65" i="15"/>
  <c r="H65" i="15"/>
  <c r="G65" i="15"/>
  <c r="F65" i="15"/>
  <c r="E65" i="15"/>
  <c r="J64" i="15"/>
  <c r="I64" i="15"/>
  <c r="H64" i="15"/>
  <c r="G64" i="15"/>
  <c r="F64" i="15"/>
  <c r="E64" i="15"/>
  <c r="I63" i="15"/>
  <c r="H63" i="15"/>
  <c r="G63" i="15"/>
  <c r="F63" i="15"/>
  <c r="E63" i="15"/>
  <c r="H44" i="15"/>
  <c r="H41" i="15"/>
  <c r="H40" i="15"/>
  <c r="H39" i="15"/>
  <c r="H35" i="15"/>
  <c r="H34" i="15" s="1"/>
  <c r="H31" i="15"/>
  <c r="H30" i="15"/>
  <c r="H29" i="15"/>
  <c r="H28" i="15"/>
  <c r="H27" i="15"/>
  <c r="H26" i="15"/>
  <c r="H25" i="15"/>
  <c r="H24" i="15"/>
  <c r="H23" i="15"/>
  <c r="J16" i="15"/>
  <c r="I16" i="15"/>
  <c r="H16" i="15"/>
  <c r="G16" i="15"/>
  <c r="F16" i="15"/>
  <c r="E16" i="15"/>
  <c r="J15" i="15"/>
  <c r="I15" i="15"/>
  <c r="H15" i="15"/>
  <c r="G15" i="15"/>
  <c r="F15" i="15"/>
  <c r="E15" i="15"/>
  <c r="H14" i="15"/>
  <c r="F45" i="4"/>
  <c r="H108" i="5"/>
  <c r="F130" i="14"/>
  <c r="H9" i="16"/>
  <c r="H8" i="16"/>
  <c r="H11" i="16"/>
  <c r="H10" i="16"/>
  <c r="H7" i="16"/>
  <c r="M7" i="16" s="1"/>
  <c r="I34" i="8" l="1"/>
  <c r="I76" i="3" s="1"/>
  <c r="D25" i="2"/>
  <c r="N7" i="16"/>
  <c r="H22" i="15"/>
  <c r="H21" i="15" s="1"/>
  <c r="J62" i="15"/>
  <c r="E62" i="15"/>
  <c r="I62" i="15"/>
  <c r="G62" i="15"/>
  <c r="H62" i="15"/>
  <c r="F62" i="15"/>
  <c r="K15" i="15"/>
  <c r="K16" i="15"/>
  <c r="D65" i="15" s="1"/>
  <c r="C61" i="19" l="1"/>
  <c r="I172" i="3"/>
  <c r="D64" i="15"/>
  <c r="K64" i="15" s="1"/>
  <c r="K65" i="15"/>
  <c r="N13" i="16" l="1"/>
  <c r="M12" i="16"/>
  <c r="N12" i="16" s="1"/>
  <c r="M9" i="16"/>
  <c r="N9" i="16" s="1"/>
  <c r="M8" i="16"/>
  <c r="M11" i="16"/>
  <c r="N11" i="16" s="1"/>
  <c r="M10" i="16"/>
  <c r="D49" i="4"/>
  <c r="D282" i="10"/>
  <c r="I287" i="10"/>
  <c r="I283" i="10"/>
  <c r="I282" i="10"/>
  <c r="H89" i="1"/>
  <c r="I9" i="1"/>
  <c r="J88" i="1"/>
  <c r="C179" i="3"/>
  <c r="B118" i="13" s="1"/>
  <c r="D288" i="10" s="1"/>
  <c r="C178" i="3"/>
  <c r="C173" i="3"/>
  <c r="C90" i="1" s="1"/>
  <c r="I178" i="3"/>
  <c r="H95" i="1" s="1"/>
  <c r="I174" i="3"/>
  <c r="H91" i="1" s="1"/>
  <c r="I173" i="3"/>
  <c r="H90" i="1" s="1"/>
  <c r="E50" i="10"/>
  <c r="E11" i="13" s="1"/>
  <c r="H277" i="10"/>
  <c r="H278" i="10" s="1"/>
  <c r="G277" i="10"/>
  <c r="F277" i="10"/>
  <c r="F278" i="10" s="1"/>
  <c r="E277" i="10"/>
  <c r="D23" i="8"/>
  <c r="D32" i="8" s="1"/>
  <c r="J89" i="15"/>
  <c r="I89" i="15"/>
  <c r="H89" i="15"/>
  <c r="G89" i="15"/>
  <c r="F89" i="15"/>
  <c r="E89" i="15"/>
  <c r="J88" i="15"/>
  <c r="I88" i="15"/>
  <c r="H88" i="15"/>
  <c r="G88" i="15"/>
  <c r="F88" i="15"/>
  <c r="E88" i="15"/>
  <c r="D90" i="15"/>
  <c r="J92" i="15"/>
  <c r="J91" i="15" s="1"/>
  <c r="I92" i="15"/>
  <c r="I91" i="15" s="1"/>
  <c r="H92" i="15"/>
  <c r="G92" i="15"/>
  <c r="G91" i="15" s="1"/>
  <c r="F92" i="15"/>
  <c r="F91" i="15" s="1"/>
  <c r="E92" i="15"/>
  <c r="E91" i="15" s="1"/>
  <c r="J93" i="15"/>
  <c r="I93" i="15"/>
  <c r="H93" i="15"/>
  <c r="G93" i="15"/>
  <c r="F93" i="15"/>
  <c r="E93" i="15"/>
  <c r="J87" i="15"/>
  <c r="I87" i="15"/>
  <c r="H87" i="15"/>
  <c r="G87" i="15"/>
  <c r="F87" i="15"/>
  <c r="E87" i="15"/>
  <c r="J83" i="15"/>
  <c r="J82" i="15" s="1"/>
  <c r="I83" i="15"/>
  <c r="I82" i="15" s="1"/>
  <c r="H83" i="15"/>
  <c r="H82" i="15" s="1"/>
  <c r="G83" i="15"/>
  <c r="G82" i="15" s="1"/>
  <c r="F83" i="15"/>
  <c r="F82" i="15" s="1"/>
  <c r="E83" i="15"/>
  <c r="E82" i="15" s="1"/>
  <c r="J77" i="15"/>
  <c r="I77" i="15"/>
  <c r="H77" i="15"/>
  <c r="G77" i="15"/>
  <c r="F77" i="15"/>
  <c r="E77" i="15"/>
  <c r="J76" i="15"/>
  <c r="I76" i="15"/>
  <c r="H76" i="15"/>
  <c r="G76" i="15"/>
  <c r="F76" i="15"/>
  <c r="E76" i="15"/>
  <c r="J75" i="15"/>
  <c r="I75" i="15"/>
  <c r="H75" i="15"/>
  <c r="G75" i="15"/>
  <c r="F75" i="15"/>
  <c r="E75" i="15"/>
  <c r="J74" i="15"/>
  <c r="I74" i="15"/>
  <c r="H74" i="15"/>
  <c r="G74" i="15"/>
  <c r="F74" i="15"/>
  <c r="E74" i="15"/>
  <c r="J73" i="15"/>
  <c r="I73" i="15"/>
  <c r="H73" i="15"/>
  <c r="G73" i="15"/>
  <c r="F73" i="15"/>
  <c r="E73" i="15"/>
  <c r="J72" i="15"/>
  <c r="I72" i="15"/>
  <c r="H72" i="15"/>
  <c r="G72" i="15"/>
  <c r="F72" i="15"/>
  <c r="E72" i="15"/>
  <c r="G71" i="15"/>
  <c r="H71" i="15"/>
  <c r="I71" i="15"/>
  <c r="J71" i="15"/>
  <c r="F71" i="15"/>
  <c r="E71" i="15"/>
  <c r="J44" i="15"/>
  <c r="I44" i="15"/>
  <c r="G44" i="15"/>
  <c r="F44" i="15"/>
  <c r="E44" i="15"/>
  <c r="G25" i="14"/>
  <c r="J14" i="15"/>
  <c r="I14" i="15"/>
  <c r="G14" i="15"/>
  <c r="F14" i="15"/>
  <c r="E14" i="15"/>
  <c r="E13" i="15" s="1"/>
  <c r="I41" i="15"/>
  <c r="J31" i="15"/>
  <c r="I31" i="15"/>
  <c r="G31" i="15"/>
  <c r="F31" i="15"/>
  <c r="E31" i="15"/>
  <c r="J30" i="15"/>
  <c r="I30" i="15"/>
  <c r="G30" i="15"/>
  <c r="F30" i="15"/>
  <c r="E30" i="15"/>
  <c r="J29" i="15"/>
  <c r="I29" i="15"/>
  <c r="G29" i="15"/>
  <c r="F29" i="15"/>
  <c r="E29" i="15"/>
  <c r="J28" i="15"/>
  <c r="I28" i="15"/>
  <c r="G28" i="15"/>
  <c r="F28" i="15"/>
  <c r="E28" i="15"/>
  <c r="J27" i="15"/>
  <c r="I27" i="15"/>
  <c r="G27" i="15"/>
  <c r="F27" i="15"/>
  <c r="E27" i="15"/>
  <c r="J26" i="15"/>
  <c r="I26" i="15"/>
  <c r="G26" i="15"/>
  <c r="F26" i="15"/>
  <c r="E26" i="15"/>
  <c r="J25" i="15"/>
  <c r="I25" i="15"/>
  <c r="G25" i="15"/>
  <c r="F25" i="15"/>
  <c r="E25" i="15"/>
  <c r="J24" i="15"/>
  <c r="I24" i="15"/>
  <c r="G24" i="15"/>
  <c r="F24" i="15"/>
  <c r="E24" i="15"/>
  <c r="J23" i="15"/>
  <c r="I23" i="15"/>
  <c r="G23" i="15"/>
  <c r="F23" i="15"/>
  <c r="E23" i="15"/>
  <c r="J35" i="15"/>
  <c r="J34" i="15" s="1"/>
  <c r="I35" i="15"/>
  <c r="I34" i="15" s="1"/>
  <c r="G35" i="15"/>
  <c r="G34" i="15" s="1"/>
  <c r="F35" i="15"/>
  <c r="F34" i="15" s="1"/>
  <c r="E35" i="15"/>
  <c r="E34" i="15" s="1"/>
  <c r="J45" i="15"/>
  <c r="I45" i="15"/>
  <c r="H45" i="15"/>
  <c r="G45" i="15"/>
  <c r="F45" i="15"/>
  <c r="E45" i="15"/>
  <c r="J41" i="15"/>
  <c r="F41" i="15"/>
  <c r="E41" i="15"/>
  <c r="J40" i="15"/>
  <c r="I40" i="15"/>
  <c r="F40" i="15"/>
  <c r="E40" i="15"/>
  <c r="J39" i="15"/>
  <c r="I39" i="15"/>
  <c r="F39" i="15"/>
  <c r="E39" i="15"/>
  <c r="E68" i="15"/>
  <c r="K68" i="15" s="1"/>
  <c r="K20" i="15"/>
  <c r="D13" i="15"/>
  <c r="D19" i="15" s="1"/>
  <c r="D47" i="4"/>
  <c r="G47" i="4" s="1"/>
  <c r="D46" i="4"/>
  <c r="K35" i="12"/>
  <c r="D76" i="12" s="1"/>
  <c r="D75" i="12" s="1"/>
  <c r="K30" i="12"/>
  <c r="J53" i="12"/>
  <c r="I53" i="12"/>
  <c r="I52" i="12" s="1"/>
  <c r="H53" i="12"/>
  <c r="G53" i="12"/>
  <c r="F53" i="12"/>
  <c r="F52" i="12" s="1"/>
  <c r="E53" i="12"/>
  <c r="E52" i="12" s="1"/>
  <c r="J13" i="12"/>
  <c r="I13" i="12"/>
  <c r="H13" i="12"/>
  <c r="G13" i="12"/>
  <c r="F13" i="12"/>
  <c r="E13" i="12"/>
  <c r="E12" i="12" s="1"/>
  <c r="D12" i="12"/>
  <c r="J73" i="12"/>
  <c r="I73" i="12"/>
  <c r="H73" i="12"/>
  <c r="G73" i="12"/>
  <c r="F73" i="12"/>
  <c r="E73" i="12"/>
  <c r="J72" i="12"/>
  <c r="I72" i="12"/>
  <c r="H72" i="12"/>
  <c r="G72" i="12"/>
  <c r="F72" i="12"/>
  <c r="E72" i="12"/>
  <c r="J69" i="12"/>
  <c r="I69" i="12"/>
  <c r="H69" i="12"/>
  <c r="G69" i="12"/>
  <c r="F69" i="12"/>
  <c r="E69" i="12"/>
  <c r="J68" i="12"/>
  <c r="I68" i="12"/>
  <c r="H68" i="12"/>
  <c r="G68" i="12"/>
  <c r="F68" i="12"/>
  <c r="E68" i="12"/>
  <c r="J67" i="12"/>
  <c r="I67" i="12"/>
  <c r="H67" i="12"/>
  <c r="G67" i="12"/>
  <c r="F67" i="12"/>
  <c r="E67" i="12"/>
  <c r="J66" i="12"/>
  <c r="I66" i="12"/>
  <c r="H66" i="12"/>
  <c r="G66" i="12"/>
  <c r="F66" i="12"/>
  <c r="E66" i="12"/>
  <c r="J65" i="12"/>
  <c r="I65" i="12"/>
  <c r="H65" i="12"/>
  <c r="G65" i="12"/>
  <c r="F65" i="12"/>
  <c r="E65" i="12"/>
  <c r="J64" i="12"/>
  <c r="I64" i="12"/>
  <c r="H64" i="12"/>
  <c r="G64" i="12"/>
  <c r="F64" i="12"/>
  <c r="E64" i="12"/>
  <c r="J63" i="12"/>
  <c r="I63" i="12"/>
  <c r="H63" i="12"/>
  <c r="G63" i="12"/>
  <c r="F63" i="12"/>
  <c r="E63" i="12"/>
  <c r="J32" i="12"/>
  <c r="I32" i="12"/>
  <c r="I31" i="12" s="1"/>
  <c r="H32" i="12"/>
  <c r="H31" i="12" s="1"/>
  <c r="G32" i="12"/>
  <c r="G31" i="12" s="1"/>
  <c r="F32" i="12"/>
  <c r="F31" i="12" s="1"/>
  <c r="E32" i="12"/>
  <c r="E31" i="12" s="1"/>
  <c r="J29" i="12"/>
  <c r="I29" i="12"/>
  <c r="H29" i="12"/>
  <c r="G29" i="12"/>
  <c r="F29" i="12"/>
  <c r="E29" i="12"/>
  <c r="J28" i="12"/>
  <c r="I28" i="12"/>
  <c r="H28" i="12"/>
  <c r="G28" i="12"/>
  <c r="F28" i="12"/>
  <c r="E28" i="12"/>
  <c r="J27" i="12"/>
  <c r="I27" i="12"/>
  <c r="H27" i="12"/>
  <c r="G27" i="12"/>
  <c r="F27" i="12"/>
  <c r="E27" i="12"/>
  <c r="J26" i="12"/>
  <c r="I26" i="12"/>
  <c r="H26" i="12"/>
  <c r="G26" i="12"/>
  <c r="F26" i="12"/>
  <c r="E26" i="12"/>
  <c r="J25" i="12"/>
  <c r="I25" i="12"/>
  <c r="H25" i="12"/>
  <c r="G25" i="12"/>
  <c r="F25" i="12"/>
  <c r="E25" i="12"/>
  <c r="J24" i="12"/>
  <c r="I24" i="12"/>
  <c r="H24" i="12"/>
  <c r="G24" i="12"/>
  <c r="F24" i="12"/>
  <c r="E24" i="12"/>
  <c r="J23" i="12"/>
  <c r="I23" i="12"/>
  <c r="H23" i="12"/>
  <c r="G23" i="12"/>
  <c r="F23" i="12"/>
  <c r="E23" i="12"/>
  <c r="J31" i="12"/>
  <c r="J56" i="12"/>
  <c r="I56" i="12"/>
  <c r="H56" i="12"/>
  <c r="G56" i="12"/>
  <c r="F56" i="12"/>
  <c r="E56" i="12"/>
  <c r="J76" i="12"/>
  <c r="J75" i="12" s="1"/>
  <c r="I76" i="12"/>
  <c r="I75" i="12" s="1"/>
  <c r="H76" i="12"/>
  <c r="H75" i="12" s="1"/>
  <c r="G76" i="12"/>
  <c r="G75" i="12" s="1"/>
  <c r="F76" i="12"/>
  <c r="F75" i="12" s="1"/>
  <c r="E76" i="12"/>
  <c r="E75" i="12" s="1"/>
  <c r="J16" i="12"/>
  <c r="I16" i="12"/>
  <c r="H16" i="12"/>
  <c r="G16" i="12"/>
  <c r="F16" i="12"/>
  <c r="E16" i="12"/>
  <c r="O27" i="11"/>
  <c r="N27" i="11"/>
  <c r="I40" i="13"/>
  <c r="H40" i="13"/>
  <c r="G40" i="13"/>
  <c r="F40" i="13"/>
  <c r="E40" i="13"/>
  <c r="D40" i="13"/>
  <c r="I85" i="13"/>
  <c r="H85" i="13"/>
  <c r="G85" i="13"/>
  <c r="F85" i="13"/>
  <c r="E85" i="13"/>
  <c r="D85" i="13"/>
  <c r="J10" i="12"/>
  <c r="I10" i="12"/>
  <c r="H10" i="12"/>
  <c r="G10" i="12"/>
  <c r="F10" i="12"/>
  <c r="E10" i="12"/>
  <c r="J77" i="12"/>
  <c r="I77" i="12"/>
  <c r="H77" i="12"/>
  <c r="G77" i="12"/>
  <c r="F77" i="12"/>
  <c r="E77" i="12"/>
  <c r="K70" i="12"/>
  <c r="E60" i="12"/>
  <c r="K60" i="12" s="1"/>
  <c r="J57" i="12"/>
  <c r="I57" i="12"/>
  <c r="H57" i="12"/>
  <c r="G57" i="12"/>
  <c r="F57" i="12"/>
  <c r="E57" i="12"/>
  <c r="F50" i="12"/>
  <c r="K50" i="12" s="1"/>
  <c r="J36" i="12"/>
  <c r="I36" i="12"/>
  <c r="H36" i="12"/>
  <c r="G36" i="12"/>
  <c r="F36" i="12"/>
  <c r="E36" i="12"/>
  <c r="K20" i="12"/>
  <c r="J17" i="12"/>
  <c r="I17" i="12"/>
  <c r="H17" i="12"/>
  <c r="G17" i="12"/>
  <c r="F17" i="12"/>
  <c r="E17" i="12"/>
  <c r="D15" i="12"/>
  <c r="K27" i="11"/>
  <c r="J27" i="11"/>
  <c r="H27" i="11"/>
  <c r="G27" i="11"/>
  <c r="F27" i="11"/>
  <c r="E27" i="11"/>
  <c r="I8" i="11"/>
  <c r="I9" i="11" s="1"/>
  <c r="I10" i="11" s="1"/>
  <c r="I11" i="11" s="1"/>
  <c r="I12" i="11" s="1"/>
  <c r="I13" i="11" s="1"/>
  <c r="I14" i="11" s="1"/>
  <c r="I15" i="11" s="1"/>
  <c r="I16" i="11" s="1"/>
  <c r="I17" i="11" s="1"/>
  <c r="I18" i="11" s="1"/>
  <c r="I19" i="11" s="1"/>
  <c r="I20" i="11" s="1"/>
  <c r="I21" i="11" s="1"/>
  <c r="I22" i="11" s="1"/>
  <c r="I23" i="11" s="1"/>
  <c r="I24" i="11" s="1"/>
  <c r="I25" i="11" s="1"/>
  <c r="K25" i="14"/>
  <c r="G28" i="11" l="1"/>
  <c r="E28" i="11"/>
  <c r="M18" i="16"/>
  <c r="F28" i="8" s="1"/>
  <c r="G70" i="15"/>
  <c r="G69" i="15" s="1"/>
  <c r="N8" i="16"/>
  <c r="D287" i="10"/>
  <c r="B67" i="19"/>
  <c r="G22" i="15"/>
  <c r="G21" i="15" s="1"/>
  <c r="F70" i="15"/>
  <c r="F69" i="15" s="1"/>
  <c r="E22" i="15"/>
  <c r="E21" i="15" s="1"/>
  <c r="I70" i="15"/>
  <c r="I69" i="15" s="1"/>
  <c r="E70" i="15"/>
  <c r="E69" i="15" s="1"/>
  <c r="I22" i="15"/>
  <c r="I21" i="15" s="1"/>
  <c r="F22" i="15"/>
  <c r="F21" i="15" s="1"/>
  <c r="H70" i="15"/>
  <c r="H69" i="15" s="1"/>
  <c r="J70" i="15"/>
  <c r="J22" i="15"/>
  <c r="J21" i="15" s="1"/>
  <c r="K31" i="15"/>
  <c r="D79" i="15" s="1"/>
  <c r="K27" i="15"/>
  <c r="D75" i="15" s="1"/>
  <c r="K24" i="15"/>
  <c r="D72" i="15" s="1"/>
  <c r="K25" i="15"/>
  <c r="D73" i="15" s="1"/>
  <c r="K26" i="15"/>
  <c r="D74" i="15" s="1"/>
  <c r="K74" i="15" s="1"/>
  <c r="K30" i="15"/>
  <c r="D78" i="15" s="1"/>
  <c r="K28" i="15"/>
  <c r="D76" i="15" s="1"/>
  <c r="K23" i="15"/>
  <c r="D71" i="15" s="1"/>
  <c r="K71" i="15" s="1"/>
  <c r="D45" i="4"/>
  <c r="G46" i="4"/>
  <c r="G45" i="4" s="1"/>
  <c r="H91" i="15"/>
  <c r="G86" i="15"/>
  <c r="E86" i="15"/>
  <c r="I86" i="15"/>
  <c r="E19" i="15"/>
  <c r="K25" i="12"/>
  <c r="D65" i="12" s="1"/>
  <c r="K65" i="12" s="1"/>
  <c r="K29" i="12"/>
  <c r="D69" i="12" s="1"/>
  <c r="K69" i="12" s="1"/>
  <c r="K10" i="12"/>
  <c r="D50" i="12" s="1"/>
  <c r="K16" i="12"/>
  <c r="D56" i="12" s="1"/>
  <c r="K56" i="12" s="1"/>
  <c r="K17" i="12"/>
  <c r="D57" i="12" s="1"/>
  <c r="K23" i="12"/>
  <c r="K27" i="12"/>
  <c r="D67" i="12" s="1"/>
  <c r="K67" i="12" s="1"/>
  <c r="K31" i="12"/>
  <c r="K13" i="12"/>
  <c r="D53" i="12" s="1"/>
  <c r="K24" i="12"/>
  <c r="D64" i="12" s="1"/>
  <c r="K64" i="12" s="1"/>
  <c r="K26" i="12"/>
  <c r="D66" i="12" s="1"/>
  <c r="K66" i="12" s="1"/>
  <c r="K28" i="12"/>
  <c r="D68" i="12" s="1"/>
  <c r="K68" i="12" s="1"/>
  <c r="K14" i="15"/>
  <c r="K93" i="15"/>
  <c r="G49" i="4"/>
  <c r="K10" i="15"/>
  <c r="E43" i="15"/>
  <c r="H86" i="15"/>
  <c r="K40" i="15"/>
  <c r="K29" i="15"/>
  <c r="D77" i="15" s="1"/>
  <c r="F86" i="15"/>
  <c r="J86" i="15"/>
  <c r="N10" i="16"/>
  <c r="K41" i="15"/>
  <c r="I43" i="15"/>
  <c r="C95" i="1"/>
  <c r="C96" i="1"/>
  <c r="K32" i="12"/>
  <c r="K39" i="15"/>
  <c r="G43" i="15"/>
  <c r="D19" i="12"/>
  <c r="H43" i="15"/>
  <c r="K76" i="12"/>
  <c r="K75" i="12" s="1"/>
  <c r="J40" i="13"/>
  <c r="C85" i="13" s="1"/>
  <c r="J67" i="15"/>
  <c r="E67" i="15"/>
  <c r="J43" i="15"/>
  <c r="F43" i="15"/>
  <c r="K35" i="15"/>
  <c r="D83" i="15" s="1"/>
  <c r="K44" i="15"/>
  <c r="H38" i="15"/>
  <c r="G38" i="15"/>
  <c r="J38" i="15"/>
  <c r="I67" i="15"/>
  <c r="H67" i="15"/>
  <c r="F67" i="15"/>
  <c r="I38" i="15"/>
  <c r="F38" i="15"/>
  <c r="G67" i="15"/>
  <c r="I13" i="15"/>
  <c r="I19" i="15" s="1"/>
  <c r="E38" i="15"/>
  <c r="F13" i="15"/>
  <c r="F19" i="15" s="1"/>
  <c r="J13" i="15"/>
  <c r="J19" i="15" s="1"/>
  <c r="G13" i="15"/>
  <c r="G19" i="15" s="1"/>
  <c r="H13" i="15"/>
  <c r="H19" i="15" s="1"/>
  <c r="K45" i="15"/>
  <c r="E15" i="12"/>
  <c r="E19" i="12" s="1"/>
  <c r="I15" i="12"/>
  <c r="E71" i="12"/>
  <c r="H15" i="12"/>
  <c r="I71" i="12"/>
  <c r="F71" i="12"/>
  <c r="G71" i="12"/>
  <c r="J71" i="12"/>
  <c r="H71" i="12"/>
  <c r="H62" i="12"/>
  <c r="H61" i="12" s="1"/>
  <c r="I55" i="12"/>
  <c r="I59" i="12" s="1"/>
  <c r="K73" i="12"/>
  <c r="J55" i="12"/>
  <c r="E22" i="12"/>
  <c r="E21" i="12" s="1"/>
  <c r="F62" i="12"/>
  <c r="F61" i="12" s="1"/>
  <c r="I22" i="12"/>
  <c r="I21" i="12" s="1"/>
  <c r="G62" i="12"/>
  <c r="G61" i="12" s="1"/>
  <c r="E62" i="12"/>
  <c r="E61" i="12" s="1"/>
  <c r="I62" i="12"/>
  <c r="I61" i="12" s="1"/>
  <c r="J28" i="11"/>
  <c r="F55" i="12"/>
  <c r="F59" i="12" s="1"/>
  <c r="N28" i="11"/>
  <c r="I34" i="12"/>
  <c r="G34" i="12"/>
  <c r="H22" i="12"/>
  <c r="H21" i="12" s="1"/>
  <c r="H34" i="12"/>
  <c r="H55" i="12"/>
  <c r="E55" i="12"/>
  <c r="E59" i="12" s="1"/>
  <c r="G12" i="12"/>
  <c r="J62" i="12"/>
  <c r="J61" i="12" s="1"/>
  <c r="J52" i="12"/>
  <c r="F15" i="12"/>
  <c r="J15" i="12"/>
  <c r="F22" i="12"/>
  <c r="F21" i="12" s="1"/>
  <c r="J22" i="12"/>
  <c r="J21" i="12" s="1"/>
  <c r="K36" i="12"/>
  <c r="H52" i="12"/>
  <c r="G15" i="12"/>
  <c r="G22" i="12"/>
  <c r="G21" i="12" s="1"/>
  <c r="E34" i="12"/>
  <c r="F34" i="12"/>
  <c r="J34" i="12"/>
  <c r="G52" i="12"/>
  <c r="K57" i="12"/>
  <c r="J12" i="12"/>
  <c r="F12" i="12"/>
  <c r="I12" i="12"/>
  <c r="H12" i="12"/>
  <c r="K77" i="12"/>
  <c r="E99" i="12"/>
  <c r="N18" i="16" l="1"/>
  <c r="F79" i="12"/>
  <c r="G79" i="12"/>
  <c r="I79" i="12"/>
  <c r="I80" i="12" s="1"/>
  <c r="H79" i="12"/>
  <c r="C57" i="19"/>
  <c r="D82" i="15"/>
  <c r="K83" i="15"/>
  <c r="K82" i="15" s="1"/>
  <c r="D87" i="15"/>
  <c r="K87" i="15" s="1"/>
  <c r="D63" i="15"/>
  <c r="K63" i="15" s="1"/>
  <c r="K62" i="15" s="1"/>
  <c r="E102" i="15" s="1"/>
  <c r="E104" i="15" s="1"/>
  <c r="K78" i="15"/>
  <c r="K79" i="15"/>
  <c r="K22" i="15"/>
  <c r="K34" i="15"/>
  <c r="E46" i="15"/>
  <c r="J79" i="12"/>
  <c r="K72" i="15"/>
  <c r="K73" i="15"/>
  <c r="K77" i="15"/>
  <c r="K76" i="15"/>
  <c r="K75" i="15"/>
  <c r="I94" i="15"/>
  <c r="H94" i="15"/>
  <c r="F94" i="15"/>
  <c r="E94" i="15"/>
  <c r="G94" i="15"/>
  <c r="E84" i="12"/>
  <c r="E37" i="12"/>
  <c r="E38" i="12" s="1"/>
  <c r="G46" i="15"/>
  <c r="G49" i="15" s="1"/>
  <c r="J69" i="15"/>
  <c r="J94" i="15" s="1"/>
  <c r="D88" i="15"/>
  <c r="K88" i="15" s="1"/>
  <c r="D89" i="15"/>
  <c r="K89" i="15" s="1"/>
  <c r="I46" i="15"/>
  <c r="E79" i="12"/>
  <c r="E80" i="12" s="1"/>
  <c r="H19" i="12"/>
  <c r="J59" i="12"/>
  <c r="H59" i="12"/>
  <c r="H46" i="15"/>
  <c r="J46" i="15"/>
  <c r="F46" i="15"/>
  <c r="K43" i="15"/>
  <c r="D92" i="15" s="1"/>
  <c r="K92" i="15" s="1"/>
  <c r="K91" i="15" s="1"/>
  <c r="K13" i="15"/>
  <c r="K19" i="15" s="1"/>
  <c r="K38" i="15"/>
  <c r="D72" i="12"/>
  <c r="D71" i="12" s="1"/>
  <c r="H37" i="12"/>
  <c r="I19" i="12"/>
  <c r="G37" i="12"/>
  <c r="E93" i="12"/>
  <c r="F80" i="12"/>
  <c r="K34" i="12"/>
  <c r="I37" i="12"/>
  <c r="J37" i="12"/>
  <c r="F37" i="12"/>
  <c r="G19" i="12"/>
  <c r="F19" i="12"/>
  <c r="J19" i="12"/>
  <c r="K22" i="12"/>
  <c r="K21" i="12" s="1"/>
  <c r="D63" i="12"/>
  <c r="K12" i="12"/>
  <c r="D55" i="12"/>
  <c r="K15" i="12"/>
  <c r="C59" i="19" l="1"/>
  <c r="D59" i="19" s="1"/>
  <c r="K70" i="15"/>
  <c r="K69" i="15" s="1"/>
  <c r="G34" i="6" s="1"/>
  <c r="D62" i="15"/>
  <c r="D67" i="15" s="1"/>
  <c r="K67" i="15"/>
  <c r="D70" i="15"/>
  <c r="D69" i="15" s="1"/>
  <c r="E109" i="15"/>
  <c r="K21" i="15"/>
  <c r="K46" i="15" s="1"/>
  <c r="K86" i="15"/>
  <c r="E110" i="15" s="1"/>
  <c r="I95" i="15"/>
  <c r="J95" i="15"/>
  <c r="F95" i="15"/>
  <c r="E95" i="15"/>
  <c r="J47" i="15"/>
  <c r="G47" i="15"/>
  <c r="F47" i="15"/>
  <c r="I47" i="15"/>
  <c r="G95" i="15"/>
  <c r="H95" i="15"/>
  <c r="H38" i="12"/>
  <c r="D86" i="15"/>
  <c r="E47" i="15"/>
  <c r="H47" i="15"/>
  <c r="E111" i="15"/>
  <c r="D91" i="15"/>
  <c r="I38" i="12"/>
  <c r="K72" i="12"/>
  <c r="K71" i="12" s="1"/>
  <c r="E92" i="12" s="1"/>
  <c r="G38" i="12"/>
  <c r="H80" i="12"/>
  <c r="J80" i="12"/>
  <c r="K37" i="12"/>
  <c r="J38" i="12"/>
  <c r="F38" i="12"/>
  <c r="E100" i="12"/>
  <c r="K63" i="12"/>
  <c r="K62" i="12" s="1"/>
  <c r="K61" i="12" s="1"/>
  <c r="D62" i="12"/>
  <c r="D61" i="12" s="1"/>
  <c r="D79" i="12" s="1"/>
  <c r="K19" i="12"/>
  <c r="D52" i="12"/>
  <c r="D59" i="12" s="1"/>
  <c r="K53" i="12"/>
  <c r="K52" i="12" s="1"/>
  <c r="F14" i="8" l="1"/>
  <c r="K94" i="15"/>
  <c r="D94" i="15"/>
  <c r="K47" i="15"/>
  <c r="K38" i="12"/>
  <c r="E85" i="12"/>
  <c r="G21" i="6" s="1"/>
  <c r="E91" i="12"/>
  <c r="K79" i="12"/>
  <c r="D80" i="12"/>
  <c r="E108" i="15" l="1"/>
  <c r="E112" i="15" s="1"/>
  <c r="K95" i="15"/>
  <c r="D95" i="15"/>
  <c r="E94" i="12"/>
  <c r="E98" i="12" l="1"/>
  <c r="E101" i="12" l="1"/>
  <c r="C17" i="13" l="1"/>
  <c r="C12" i="13"/>
  <c r="C20" i="13" l="1"/>
  <c r="I18" i="13"/>
  <c r="H18" i="13"/>
  <c r="G18" i="13"/>
  <c r="I84" i="13"/>
  <c r="H84" i="13"/>
  <c r="G84" i="13"/>
  <c r="F84" i="13"/>
  <c r="E84" i="13"/>
  <c r="D84" i="13"/>
  <c r="I83" i="13"/>
  <c r="I82" i="13" s="1"/>
  <c r="H83" i="13"/>
  <c r="H82" i="13" s="1"/>
  <c r="G83" i="13"/>
  <c r="G82" i="13" s="1"/>
  <c r="F83" i="13"/>
  <c r="F82" i="13" s="1"/>
  <c r="E83" i="13"/>
  <c r="E82" i="13" s="1"/>
  <c r="D83" i="13"/>
  <c r="D82" i="13" s="1"/>
  <c r="I79" i="13"/>
  <c r="I78" i="13" s="1"/>
  <c r="H79" i="13"/>
  <c r="H78" i="13" s="1"/>
  <c r="G79" i="13"/>
  <c r="G78" i="13" s="1"/>
  <c r="F79" i="13"/>
  <c r="F78" i="13" s="1"/>
  <c r="E79" i="13"/>
  <c r="E78" i="13" s="1"/>
  <c r="D79" i="13"/>
  <c r="D78" i="13" s="1"/>
  <c r="I76" i="13"/>
  <c r="H76" i="13"/>
  <c r="G76" i="13"/>
  <c r="F76" i="13"/>
  <c r="E76" i="13"/>
  <c r="D76" i="13"/>
  <c r="I74" i="13"/>
  <c r="H74" i="13"/>
  <c r="G74" i="13"/>
  <c r="F74" i="13"/>
  <c r="E74" i="13"/>
  <c r="D74" i="13"/>
  <c r="I73" i="13"/>
  <c r="H73" i="13"/>
  <c r="G73" i="13"/>
  <c r="F73" i="13"/>
  <c r="E73" i="13"/>
  <c r="D73" i="13"/>
  <c r="I72" i="13"/>
  <c r="H72" i="13"/>
  <c r="G72" i="13"/>
  <c r="F72" i="13"/>
  <c r="E72" i="13"/>
  <c r="D72" i="13"/>
  <c r="I71" i="13"/>
  <c r="H71" i="13"/>
  <c r="G71" i="13"/>
  <c r="F71" i="13"/>
  <c r="E71" i="13"/>
  <c r="D71" i="13"/>
  <c r="I70" i="13"/>
  <c r="H70" i="13"/>
  <c r="G70" i="13"/>
  <c r="F70" i="13"/>
  <c r="E70" i="13"/>
  <c r="D70" i="13"/>
  <c r="I69" i="13"/>
  <c r="H69" i="13"/>
  <c r="G69" i="13"/>
  <c r="F69" i="13"/>
  <c r="E69" i="13"/>
  <c r="D69" i="13"/>
  <c r="I63" i="13"/>
  <c r="H63" i="13"/>
  <c r="G63" i="13"/>
  <c r="F63" i="13"/>
  <c r="E63" i="13"/>
  <c r="D63" i="13"/>
  <c r="I62" i="13"/>
  <c r="H62" i="13"/>
  <c r="G62" i="13"/>
  <c r="F62" i="13"/>
  <c r="E62" i="13"/>
  <c r="D62" i="13"/>
  <c r="I59" i="13"/>
  <c r="H59" i="13"/>
  <c r="G59" i="13"/>
  <c r="F59" i="13"/>
  <c r="E59" i="13"/>
  <c r="D59" i="13"/>
  <c r="I58" i="13"/>
  <c r="H58" i="13"/>
  <c r="G58" i="13"/>
  <c r="F58" i="13"/>
  <c r="E58" i="13"/>
  <c r="D58" i="13"/>
  <c r="D57" i="13"/>
  <c r="E57" i="13"/>
  <c r="F57" i="13"/>
  <c r="G57" i="13"/>
  <c r="H57" i="13"/>
  <c r="I57" i="13"/>
  <c r="E54" i="13"/>
  <c r="I34" i="13"/>
  <c r="I33" i="13" s="1"/>
  <c r="H34" i="13"/>
  <c r="H33" i="13" s="1"/>
  <c r="G34" i="13"/>
  <c r="G33" i="13" s="1"/>
  <c r="F34" i="13"/>
  <c r="F33" i="13" s="1"/>
  <c r="E34" i="13"/>
  <c r="E33" i="13" s="1"/>
  <c r="D34" i="13"/>
  <c r="E89" i="10"/>
  <c r="G11" i="13" s="1"/>
  <c r="I39" i="13"/>
  <c r="H39" i="13"/>
  <c r="G39" i="13"/>
  <c r="F39" i="13"/>
  <c r="E39" i="13"/>
  <c r="D39" i="13"/>
  <c r="I38" i="13"/>
  <c r="H38" i="13"/>
  <c r="G38" i="13"/>
  <c r="F38" i="13"/>
  <c r="E38" i="13"/>
  <c r="D38" i="13"/>
  <c r="I31" i="13"/>
  <c r="H31" i="13"/>
  <c r="G31" i="13"/>
  <c r="F31" i="13"/>
  <c r="E31" i="13"/>
  <c r="D31" i="13"/>
  <c r="I29" i="13"/>
  <c r="H29" i="13"/>
  <c r="G29" i="13"/>
  <c r="F29" i="13"/>
  <c r="E29" i="13"/>
  <c r="D29" i="13"/>
  <c r="I28" i="13"/>
  <c r="H28" i="13"/>
  <c r="G28" i="13"/>
  <c r="F28" i="13"/>
  <c r="E28" i="13"/>
  <c r="D28" i="13"/>
  <c r="I27" i="13"/>
  <c r="H27" i="13"/>
  <c r="G27" i="13"/>
  <c r="F27" i="13"/>
  <c r="E27" i="13"/>
  <c r="D27" i="13"/>
  <c r="I26" i="13"/>
  <c r="H26" i="13"/>
  <c r="G26" i="13"/>
  <c r="F26" i="13"/>
  <c r="E26" i="13"/>
  <c r="D26" i="13"/>
  <c r="I25" i="13"/>
  <c r="H25" i="13"/>
  <c r="G25" i="13"/>
  <c r="F25" i="13"/>
  <c r="E25" i="13"/>
  <c r="D25" i="13"/>
  <c r="I15" i="13"/>
  <c r="H15" i="13"/>
  <c r="G15" i="13"/>
  <c r="F15" i="13"/>
  <c r="E15" i="13"/>
  <c r="D15" i="13"/>
  <c r="I24" i="13"/>
  <c r="H24" i="13"/>
  <c r="G24" i="13"/>
  <c r="F24" i="13"/>
  <c r="E24" i="13"/>
  <c r="D24" i="13"/>
  <c r="I14" i="13"/>
  <c r="I13" i="13"/>
  <c r="H14" i="13"/>
  <c r="H13" i="13"/>
  <c r="G14" i="13"/>
  <c r="G13" i="13"/>
  <c r="F18" i="13"/>
  <c r="F14" i="13"/>
  <c r="F13" i="13"/>
  <c r="E18" i="13"/>
  <c r="E14" i="13"/>
  <c r="E13" i="13"/>
  <c r="D18" i="13"/>
  <c r="D17" i="13" s="1"/>
  <c r="D14" i="13"/>
  <c r="D12" i="13" s="1"/>
  <c r="K277" i="10"/>
  <c r="K278" i="10" s="1"/>
  <c r="J277" i="10"/>
  <c r="J278" i="10" s="1"/>
  <c r="L256" i="10"/>
  <c r="L257" i="10" s="1"/>
  <c r="L258" i="10" s="1"/>
  <c r="L259" i="10" s="1"/>
  <c r="L260" i="10" s="1"/>
  <c r="L261" i="10" s="1"/>
  <c r="L262" i="10" s="1"/>
  <c r="L263" i="10" s="1"/>
  <c r="L264" i="10" s="1"/>
  <c r="L265" i="10" s="1"/>
  <c r="L266" i="10" s="1"/>
  <c r="L267" i="10" s="1"/>
  <c r="L268" i="10" s="1"/>
  <c r="L269" i="10" s="1"/>
  <c r="L270" i="10" s="1"/>
  <c r="L271" i="10" s="1"/>
  <c r="L276" i="10" s="1"/>
  <c r="K250" i="10"/>
  <c r="K251" i="10" s="1"/>
  <c r="J250" i="10"/>
  <c r="J251" i="10" s="1"/>
  <c r="H250" i="10"/>
  <c r="H251" i="10" s="1"/>
  <c r="G250" i="10"/>
  <c r="F250" i="10"/>
  <c r="F251" i="10" s="1"/>
  <c r="E250" i="10"/>
  <c r="L231" i="10"/>
  <c r="L232" i="10" s="1"/>
  <c r="L233" i="10" s="1"/>
  <c r="L234" i="10" s="1"/>
  <c r="L235" i="10" s="1"/>
  <c r="L236" i="10" s="1"/>
  <c r="L237" i="10" s="1"/>
  <c r="L238" i="10" s="1"/>
  <c r="L239" i="10" s="1"/>
  <c r="L240" i="10" s="1"/>
  <c r="L241" i="10" s="1"/>
  <c r="L242" i="10" s="1"/>
  <c r="L245" i="10" s="1"/>
  <c r="L246" i="10" s="1"/>
  <c r="L247" i="10" s="1"/>
  <c r="L248" i="10" s="1"/>
  <c r="L249" i="10" s="1"/>
  <c r="K225" i="10"/>
  <c r="K226" i="10" s="1"/>
  <c r="J225" i="10"/>
  <c r="J226" i="10" s="1"/>
  <c r="H225" i="10"/>
  <c r="H226" i="10" s="1"/>
  <c r="G225" i="10"/>
  <c r="F225" i="10"/>
  <c r="F226" i="10" s="1"/>
  <c r="L209" i="10"/>
  <c r="L210" i="10" s="1"/>
  <c r="L211" i="10" s="1"/>
  <c r="L212" i="10" s="1"/>
  <c r="L213" i="10" s="1"/>
  <c r="L214" i="10" s="1"/>
  <c r="L215" i="10" s="1"/>
  <c r="L216" i="10" s="1"/>
  <c r="L217" i="10" s="1"/>
  <c r="L218" i="10" s="1"/>
  <c r="L219" i="10" s="1"/>
  <c r="L220" i="10" s="1"/>
  <c r="L221" i="10" s="1"/>
  <c r="L222" i="10" s="1"/>
  <c r="L223" i="10" s="1"/>
  <c r="L224" i="10" s="1"/>
  <c r="K203" i="10"/>
  <c r="K204" i="10" s="1"/>
  <c r="J203" i="10"/>
  <c r="J204" i="10" s="1"/>
  <c r="H203" i="10"/>
  <c r="H204" i="10" s="1"/>
  <c r="G203" i="10"/>
  <c r="F203" i="10"/>
  <c r="F204" i="10" s="1"/>
  <c r="E203" i="10"/>
  <c r="L188" i="10"/>
  <c r="L189" i="10" s="1"/>
  <c r="L190" i="10" s="1"/>
  <c r="L191" i="10" s="1"/>
  <c r="L192" i="10" s="1"/>
  <c r="L193" i="10" s="1"/>
  <c r="L194" i="10" s="1"/>
  <c r="L195" i="10" s="1"/>
  <c r="L196" i="10" s="1"/>
  <c r="L197" i="10" s="1"/>
  <c r="L198" i="10" s="1"/>
  <c r="L199" i="10" s="1"/>
  <c r="L200" i="10" s="1"/>
  <c r="L201" i="10" s="1"/>
  <c r="L202" i="10" s="1"/>
  <c r="K182" i="10"/>
  <c r="K183" i="10" s="1"/>
  <c r="J182" i="10"/>
  <c r="J183" i="10" s="1"/>
  <c r="L165" i="10"/>
  <c r="L166" i="10" s="1"/>
  <c r="L167" i="10" s="1"/>
  <c r="L168" i="10" s="1"/>
  <c r="L169" i="10" s="1"/>
  <c r="L170" i="10" s="1"/>
  <c r="L171" i="10" s="1"/>
  <c r="L172" i="10" s="1"/>
  <c r="L173" i="10" s="1"/>
  <c r="L174" i="10" s="1"/>
  <c r="L175" i="10" s="1"/>
  <c r="L176" i="10" s="1"/>
  <c r="L177" i="10" s="1"/>
  <c r="L178" i="10" s="1"/>
  <c r="L179" i="10" s="1"/>
  <c r="L180" i="10" s="1"/>
  <c r="L181" i="10" s="1"/>
  <c r="K159" i="10"/>
  <c r="K160" i="10" s="1"/>
  <c r="J159" i="10"/>
  <c r="J160" i="10" s="1"/>
  <c r="H159" i="10"/>
  <c r="H160" i="10" s="1"/>
  <c r="G159" i="10"/>
  <c r="F159" i="10"/>
  <c r="F160" i="10" s="1"/>
  <c r="L142" i="10"/>
  <c r="L143" i="10" s="1"/>
  <c r="L144" i="10" s="1"/>
  <c r="L145" i="10" s="1"/>
  <c r="L146" i="10" s="1"/>
  <c r="L147" i="10" s="1"/>
  <c r="L148" i="10" s="1"/>
  <c r="L149" i="10" s="1"/>
  <c r="L150" i="10" s="1"/>
  <c r="L151" i="10" s="1"/>
  <c r="L152" i="10" s="1"/>
  <c r="L153" i="10" s="1"/>
  <c r="L154" i="10" s="1"/>
  <c r="L155" i="10" s="1"/>
  <c r="L156" i="10" s="1"/>
  <c r="L157" i="10" s="1"/>
  <c r="L158" i="10" s="1"/>
  <c r="K136" i="10"/>
  <c r="K137" i="10" s="1"/>
  <c r="J136" i="10"/>
  <c r="J137" i="10" s="1"/>
  <c r="H136" i="10"/>
  <c r="H137" i="10" s="1"/>
  <c r="G136" i="10"/>
  <c r="F136" i="10"/>
  <c r="F137" i="10" s="1"/>
  <c r="L117" i="10"/>
  <c r="L118" i="10" s="1"/>
  <c r="L119" i="10" s="1"/>
  <c r="L120" i="10" s="1"/>
  <c r="L121" i="10" s="1"/>
  <c r="L122" i="10" s="1"/>
  <c r="L123" i="10" s="1"/>
  <c r="L124" i="10" s="1"/>
  <c r="L125" i="10" s="1"/>
  <c r="L126" i="10" s="1"/>
  <c r="L127" i="10" s="1"/>
  <c r="H111" i="10"/>
  <c r="H112" i="10" s="1"/>
  <c r="G111" i="10"/>
  <c r="G68" i="10"/>
  <c r="E68" i="10"/>
  <c r="F11" i="13" s="1"/>
  <c r="F89" i="10"/>
  <c r="F90" i="10" s="1"/>
  <c r="F68" i="10"/>
  <c r="F69" i="10" s="1"/>
  <c r="K111" i="10"/>
  <c r="K112" i="10" s="1"/>
  <c r="J111" i="10"/>
  <c r="J112" i="10" s="1"/>
  <c r="F111" i="10"/>
  <c r="F112" i="10" s="1"/>
  <c r="E111" i="10"/>
  <c r="H11" i="13" s="1"/>
  <c r="L95" i="10"/>
  <c r="L96" i="10" s="1"/>
  <c r="L97" i="10" s="1"/>
  <c r="L98" i="10" s="1"/>
  <c r="L106" i="10" s="1"/>
  <c r="L107" i="10" s="1"/>
  <c r="L109" i="10" s="1"/>
  <c r="K89" i="10"/>
  <c r="K90" i="10" s="1"/>
  <c r="J89" i="10"/>
  <c r="J90" i="10" s="1"/>
  <c r="H89" i="10"/>
  <c r="H90" i="10" s="1"/>
  <c r="L74" i="10"/>
  <c r="L75" i="10" s="1"/>
  <c r="L76" i="10" s="1"/>
  <c r="L77" i="10" s="1"/>
  <c r="L78" i="10" s="1"/>
  <c r="L79" i="10" s="1"/>
  <c r="L80" i="10" s="1"/>
  <c r="L81" i="10" s="1"/>
  <c r="L82" i="10" s="1"/>
  <c r="L83" i="10" s="1"/>
  <c r="L84" i="10" s="1"/>
  <c r="L85" i="10" s="1"/>
  <c r="K68" i="10"/>
  <c r="K69" i="10" s="1"/>
  <c r="J68" i="10"/>
  <c r="H68" i="10"/>
  <c r="H69" i="10" s="1"/>
  <c r="K50" i="10"/>
  <c r="K51" i="10" s="1"/>
  <c r="J50" i="10"/>
  <c r="H50" i="10"/>
  <c r="H51" i="10" s="1"/>
  <c r="G50" i="10"/>
  <c r="F50" i="10"/>
  <c r="F51" i="10" s="1"/>
  <c r="H28" i="10"/>
  <c r="F28" i="10"/>
  <c r="K27" i="10"/>
  <c r="K28" i="10" s="1"/>
  <c r="J27" i="10"/>
  <c r="J28" i="10" s="1"/>
  <c r="L8" i="10"/>
  <c r="L10" i="10" s="1"/>
  <c r="L11" i="10" s="1"/>
  <c r="L12" i="10" s="1"/>
  <c r="I8" i="10"/>
  <c r="I9" i="10" s="1"/>
  <c r="I10" i="10" s="1"/>
  <c r="I11" i="10" s="1"/>
  <c r="I12" i="10" s="1"/>
  <c r="I13" i="10" s="1"/>
  <c r="P130" i="14"/>
  <c r="P131" i="14" s="1"/>
  <c r="O130" i="14"/>
  <c r="L130" i="14"/>
  <c r="L131" i="14" s="1"/>
  <c r="K130" i="14"/>
  <c r="I131" i="14"/>
  <c r="G130" i="14"/>
  <c r="G131" i="14" s="1"/>
  <c r="C121" i="14"/>
  <c r="P114" i="14"/>
  <c r="P115" i="14" s="1"/>
  <c r="O114" i="14"/>
  <c r="L114" i="14"/>
  <c r="L115" i="14" s="1"/>
  <c r="K114" i="14"/>
  <c r="I114" i="14"/>
  <c r="I115" i="14" s="1"/>
  <c r="G114" i="14"/>
  <c r="G115" i="14" s="1"/>
  <c r="C110" i="14"/>
  <c r="P103" i="14"/>
  <c r="P104" i="14" s="1"/>
  <c r="O103" i="14"/>
  <c r="L103" i="14"/>
  <c r="L104" i="14" s="1"/>
  <c r="K103" i="14"/>
  <c r="I103" i="14"/>
  <c r="I104" i="14" s="1"/>
  <c r="H103" i="14"/>
  <c r="G103" i="14"/>
  <c r="G104" i="14" s="1"/>
  <c r="F103" i="14"/>
  <c r="C100" i="14"/>
  <c r="P93" i="14"/>
  <c r="P94" i="14" s="1"/>
  <c r="O93" i="14"/>
  <c r="L93" i="14"/>
  <c r="L94" i="14" s="1"/>
  <c r="K93" i="14"/>
  <c r="I93" i="14"/>
  <c r="I94" i="14" s="1"/>
  <c r="H93" i="14"/>
  <c r="G94" i="14"/>
  <c r="F93" i="14"/>
  <c r="C80" i="14"/>
  <c r="P73" i="14"/>
  <c r="P74" i="14" s="1"/>
  <c r="O73" i="14"/>
  <c r="L73" i="14"/>
  <c r="L74" i="14" s="1"/>
  <c r="K73" i="14"/>
  <c r="I73" i="14"/>
  <c r="I74" i="14" s="1"/>
  <c r="H73" i="14"/>
  <c r="G73" i="14"/>
  <c r="G74" i="14" s="1"/>
  <c r="F73" i="14"/>
  <c r="C70" i="14"/>
  <c r="P63" i="14"/>
  <c r="P64" i="14" s="1"/>
  <c r="O63" i="14"/>
  <c r="L63" i="14"/>
  <c r="L64" i="14" s="1"/>
  <c r="K63" i="14"/>
  <c r="I63" i="14"/>
  <c r="I64" i="14" s="1"/>
  <c r="H63" i="14"/>
  <c r="G63" i="14"/>
  <c r="G64" i="14" s="1"/>
  <c r="F63" i="14"/>
  <c r="C60" i="14"/>
  <c r="P53" i="14"/>
  <c r="P54" i="14" s="1"/>
  <c r="O53" i="14"/>
  <c r="L53" i="14"/>
  <c r="L54" i="14" s="1"/>
  <c r="K53" i="14"/>
  <c r="I53" i="14"/>
  <c r="H53" i="14"/>
  <c r="G53" i="14"/>
  <c r="G54" i="14" s="1"/>
  <c r="F53" i="14"/>
  <c r="C50" i="14"/>
  <c r="P43" i="14"/>
  <c r="P44" i="14" s="1"/>
  <c r="O43" i="14"/>
  <c r="L43" i="14"/>
  <c r="L44" i="14" s="1"/>
  <c r="K43" i="14"/>
  <c r="I43" i="14"/>
  <c r="H43" i="14"/>
  <c r="G43" i="14"/>
  <c r="G44" i="14" s="1"/>
  <c r="C40" i="14"/>
  <c r="P33" i="14"/>
  <c r="P34" i="14" s="1"/>
  <c r="O33" i="14"/>
  <c r="L33" i="14"/>
  <c r="L34" i="14" s="1"/>
  <c r="K33" i="14"/>
  <c r="I33" i="14"/>
  <c r="H33" i="14"/>
  <c r="G33" i="14"/>
  <c r="G34" i="14" s="1"/>
  <c r="F33" i="14"/>
  <c r="C31" i="14"/>
  <c r="P25" i="14"/>
  <c r="P26" i="14" s="1"/>
  <c r="O25" i="14"/>
  <c r="L25" i="14"/>
  <c r="L26" i="14" s="1"/>
  <c r="H25" i="14"/>
  <c r="G26" i="14"/>
  <c r="F25" i="14"/>
  <c r="C23" i="14"/>
  <c r="A3" i="14"/>
  <c r="P17" i="14"/>
  <c r="P18" i="14" s="1"/>
  <c r="O17" i="14"/>
  <c r="P9" i="14"/>
  <c r="P10" i="14" s="1"/>
  <c r="O9" i="14"/>
  <c r="O10" i="14" s="1"/>
  <c r="Q7" i="14"/>
  <c r="Q8" i="14" s="1"/>
  <c r="J32" i="13"/>
  <c r="K9" i="14"/>
  <c r="K10" i="14" s="1"/>
  <c r="L17" i="14"/>
  <c r="L18" i="14" s="1"/>
  <c r="K17" i="14"/>
  <c r="I17" i="14"/>
  <c r="H17" i="14"/>
  <c r="G17" i="14"/>
  <c r="G18" i="14" s="1"/>
  <c r="F17" i="14"/>
  <c r="C15" i="14"/>
  <c r="L9" i="14"/>
  <c r="L10" i="14" s="1"/>
  <c r="I9" i="14"/>
  <c r="H9" i="14"/>
  <c r="G9" i="14"/>
  <c r="G10" i="14" s="1"/>
  <c r="F9" i="14"/>
  <c r="M7" i="14"/>
  <c r="M8" i="14" s="1"/>
  <c r="J7" i="14"/>
  <c r="J8" i="14" s="1"/>
  <c r="D20" i="13" l="1"/>
  <c r="D56" i="13"/>
  <c r="G12" i="13"/>
  <c r="G10" i="13" s="1"/>
  <c r="I12" i="13"/>
  <c r="I10" i="13" s="1"/>
  <c r="H12" i="13"/>
  <c r="H10" i="13" s="1"/>
  <c r="F12" i="13"/>
  <c r="F10" i="13" s="1"/>
  <c r="I10" i="14"/>
  <c r="H11" i="14" s="1"/>
  <c r="H15" i="14" s="1"/>
  <c r="E48" i="15"/>
  <c r="E49" i="15" s="1"/>
  <c r="I18" i="14"/>
  <c r="F48" i="15"/>
  <c r="F49" i="15" s="1"/>
  <c r="I34" i="14"/>
  <c r="H48" i="15"/>
  <c r="H49" i="15" s="1"/>
  <c r="G28" i="10"/>
  <c r="G29" i="10" s="1"/>
  <c r="G33" i="10" s="1"/>
  <c r="I33" i="10" s="1"/>
  <c r="I34" i="10" s="1"/>
  <c r="E12" i="13"/>
  <c r="E10" i="13" s="1"/>
  <c r="J14" i="13"/>
  <c r="C58" i="13" s="1"/>
  <c r="J58" i="13" s="1"/>
  <c r="G18" i="6" s="1"/>
  <c r="J15" i="13"/>
  <c r="C59" i="13" s="1"/>
  <c r="J59" i="13" s="1"/>
  <c r="G19" i="6" s="1"/>
  <c r="J13" i="13"/>
  <c r="I54" i="14"/>
  <c r="J48" i="15"/>
  <c r="J49" i="15" s="1"/>
  <c r="I44" i="14"/>
  <c r="I48" i="15"/>
  <c r="I49" i="15" s="1"/>
  <c r="D33" i="13"/>
  <c r="J34" i="13"/>
  <c r="F56" i="13"/>
  <c r="E56" i="13"/>
  <c r="H56" i="13"/>
  <c r="G56" i="13"/>
  <c r="I56" i="13"/>
  <c r="E68" i="13"/>
  <c r="E67" i="13" s="1"/>
  <c r="E87" i="13" s="1"/>
  <c r="I68" i="13"/>
  <c r="I67" i="13" s="1"/>
  <c r="I87" i="13" s="1"/>
  <c r="I14" i="10"/>
  <c r="I15" i="10" s="1"/>
  <c r="I16" i="10" s="1"/>
  <c r="I17" i="10" s="1"/>
  <c r="I18" i="10" s="1"/>
  <c r="I19" i="10" s="1"/>
  <c r="I20" i="10" s="1"/>
  <c r="I21" i="10" s="1"/>
  <c r="I22" i="10" s="1"/>
  <c r="I23" i="10" s="1"/>
  <c r="I24" i="10" s="1"/>
  <c r="I25" i="10" s="1"/>
  <c r="I26" i="10" s="1"/>
  <c r="D68" i="13"/>
  <c r="D67" i="13" s="1"/>
  <c r="D87" i="13" s="1"/>
  <c r="H68" i="13"/>
  <c r="H67" i="13" s="1"/>
  <c r="H87" i="13" s="1"/>
  <c r="F68" i="13"/>
  <c r="F67" i="13" s="1"/>
  <c r="F87" i="13" s="1"/>
  <c r="G68" i="13"/>
  <c r="G67" i="13" s="1"/>
  <c r="G87" i="13" s="1"/>
  <c r="H17" i="13"/>
  <c r="G61" i="13"/>
  <c r="F61" i="13"/>
  <c r="J18" i="13"/>
  <c r="C63" i="13" s="1"/>
  <c r="E17" i="13"/>
  <c r="F17" i="13"/>
  <c r="E61" i="13"/>
  <c r="I61" i="13"/>
  <c r="E37" i="13"/>
  <c r="I37" i="13"/>
  <c r="D61" i="13"/>
  <c r="H61" i="13"/>
  <c r="G37" i="13"/>
  <c r="J27" i="13"/>
  <c r="C72" i="13" s="1"/>
  <c r="J72" i="13" s="1"/>
  <c r="F37" i="13"/>
  <c r="J26" i="13"/>
  <c r="C71" i="13" s="1"/>
  <c r="J71" i="13" s="1"/>
  <c r="J28" i="13"/>
  <c r="C73" i="13" s="1"/>
  <c r="J73" i="13" s="1"/>
  <c r="J31" i="13"/>
  <c r="C76" i="13" s="1"/>
  <c r="J76" i="13" s="1"/>
  <c r="J39" i="13"/>
  <c r="J85" i="13"/>
  <c r="D106" i="13" s="1"/>
  <c r="J63" i="13"/>
  <c r="J24" i="13"/>
  <c r="J25" i="13"/>
  <c r="C70" i="13" s="1"/>
  <c r="J70" i="13" s="1"/>
  <c r="J29" i="13"/>
  <c r="C74" i="13" s="1"/>
  <c r="J74" i="13" s="1"/>
  <c r="D37" i="13"/>
  <c r="H37" i="13"/>
  <c r="I17" i="13"/>
  <c r="J38" i="13"/>
  <c r="C83" i="13" s="1"/>
  <c r="J84" i="13"/>
  <c r="G17" i="13"/>
  <c r="D23" i="13"/>
  <c r="D22" i="13" s="1"/>
  <c r="I23" i="13"/>
  <c r="I22" i="13" s="1"/>
  <c r="G23" i="13"/>
  <c r="G22" i="13" s="1"/>
  <c r="H23" i="13"/>
  <c r="H22" i="13" s="1"/>
  <c r="F23" i="13"/>
  <c r="F22" i="13" s="1"/>
  <c r="E23" i="13"/>
  <c r="E22" i="13" s="1"/>
  <c r="J227" i="10"/>
  <c r="J252" i="10"/>
  <c r="E29" i="10"/>
  <c r="E33" i="10" s="1"/>
  <c r="E51" i="10" s="1"/>
  <c r="E52" i="10" s="1"/>
  <c r="J279" i="10"/>
  <c r="J205" i="10"/>
  <c r="J184" i="10"/>
  <c r="J161" i="10"/>
  <c r="J138" i="10"/>
  <c r="J113" i="10"/>
  <c r="J91" i="10"/>
  <c r="J29" i="10"/>
  <c r="J33" i="10" s="1"/>
  <c r="L33" i="10" s="1"/>
  <c r="L34" i="10" s="1"/>
  <c r="L35" i="10" s="1"/>
  <c r="L36" i="10" s="1"/>
  <c r="L37" i="10" s="1"/>
  <c r="I26" i="14"/>
  <c r="F10" i="14"/>
  <c r="F11" i="14" s="1"/>
  <c r="F15" i="14" s="1"/>
  <c r="F18" i="14" s="1"/>
  <c r="F19" i="14" s="1"/>
  <c r="F23" i="14" s="1"/>
  <c r="F26" i="14" s="1"/>
  <c r="F27" i="14" s="1"/>
  <c r="F31" i="14" s="1"/>
  <c r="F34" i="14" s="1"/>
  <c r="F35" i="14" s="1"/>
  <c r="F40" i="14" s="1"/>
  <c r="F44" i="14" s="1"/>
  <c r="F45" i="14" s="1"/>
  <c r="F50" i="14" s="1"/>
  <c r="F54" i="14" s="1"/>
  <c r="F55" i="14" s="1"/>
  <c r="F60" i="14" s="1"/>
  <c r="F64" i="14" s="1"/>
  <c r="F65" i="14" s="1"/>
  <c r="F70" i="14" s="1"/>
  <c r="F74" i="14" s="1"/>
  <c r="F75" i="14" s="1"/>
  <c r="F80" i="14" s="1"/>
  <c r="F94" i="14" s="1"/>
  <c r="F95" i="14" s="1"/>
  <c r="F100" i="14" s="1"/>
  <c r="F104" i="14" s="1"/>
  <c r="F105" i="14" s="1"/>
  <c r="K11" i="14"/>
  <c r="K15" i="14" s="1"/>
  <c r="M15" i="14" s="1"/>
  <c r="M16" i="14" s="1"/>
  <c r="O11" i="14"/>
  <c r="O15" i="14" s="1"/>
  <c r="C69" i="13" l="1"/>
  <c r="J23" i="13"/>
  <c r="J22" i="13" s="1"/>
  <c r="J10" i="13"/>
  <c r="C54" i="13" s="1"/>
  <c r="J54" i="13" s="1"/>
  <c r="J12" i="13"/>
  <c r="C57" i="13"/>
  <c r="C56" i="13" s="1"/>
  <c r="C79" i="13"/>
  <c r="C78" i="13" s="1"/>
  <c r="J33" i="13"/>
  <c r="E56" i="10"/>
  <c r="E69" i="10" s="1"/>
  <c r="E70" i="10" s="1"/>
  <c r="E74" i="10" s="1"/>
  <c r="E90" i="10" s="1"/>
  <c r="E91" i="10" s="1"/>
  <c r="E95" i="10" s="1"/>
  <c r="E112" i="10" s="1"/>
  <c r="E113" i="10" s="1"/>
  <c r="E117" i="10" s="1"/>
  <c r="E137" i="10" s="1"/>
  <c r="E138" i="10" s="1"/>
  <c r="E142" i="10" s="1"/>
  <c r="E160" i="10" s="1"/>
  <c r="E161" i="10" s="1"/>
  <c r="E165" i="10" s="1"/>
  <c r="E183" i="10" s="1"/>
  <c r="E184" i="10" s="1"/>
  <c r="E188" i="10" s="1"/>
  <c r="E204" i="10" s="1"/>
  <c r="E205" i="10" s="1"/>
  <c r="E209" i="10" s="1"/>
  <c r="E226" i="10" s="1"/>
  <c r="E227" i="10" s="1"/>
  <c r="E231" i="10" s="1"/>
  <c r="E251" i="10" s="1"/>
  <c r="E252" i="10" s="1"/>
  <c r="E256" i="10" s="1"/>
  <c r="F41" i="13"/>
  <c r="J15" i="14"/>
  <c r="J16" i="14" s="1"/>
  <c r="H12" i="14"/>
  <c r="F110" i="14"/>
  <c r="F115" i="14" s="1"/>
  <c r="F116" i="14" s="1"/>
  <c r="F121" i="14" s="1"/>
  <c r="F131" i="14" s="1"/>
  <c r="F132" i="14" s="1"/>
  <c r="I20" i="13"/>
  <c r="J69" i="13"/>
  <c r="J68" i="13" s="1"/>
  <c r="C68" i="13"/>
  <c r="C67" i="13" s="1"/>
  <c r="I35" i="10"/>
  <c r="I36" i="10" s="1"/>
  <c r="I37" i="10" s="1"/>
  <c r="I38" i="10" s="1"/>
  <c r="H20" i="13"/>
  <c r="G20" i="13"/>
  <c r="F65" i="13"/>
  <c r="F88" i="13" s="1"/>
  <c r="C82" i="13"/>
  <c r="J83" i="13"/>
  <c r="J82" i="13" s="1"/>
  <c r="E20" i="13"/>
  <c r="H65" i="13"/>
  <c r="G65" i="13"/>
  <c r="F20" i="13"/>
  <c r="D41" i="13"/>
  <c r="G41" i="13"/>
  <c r="H41" i="13"/>
  <c r="E41" i="13"/>
  <c r="J17" i="13"/>
  <c r="I41" i="13"/>
  <c r="D65" i="13"/>
  <c r="I65" i="13"/>
  <c r="I88" i="13" s="1"/>
  <c r="E65" i="13"/>
  <c r="J37" i="13"/>
  <c r="C62" i="13"/>
  <c r="G51" i="10"/>
  <c r="G52" i="10" s="1"/>
  <c r="G56" i="10" s="1"/>
  <c r="J51" i="10"/>
  <c r="J52" i="10" s="1"/>
  <c r="J56" i="10" s="1"/>
  <c r="K18" i="14"/>
  <c r="K19" i="14" s="1"/>
  <c r="K23" i="14" s="1"/>
  <c r="Q15" i="14"/>
  <c r="O18" i="14"/>
  <c r="O19" i="14" s="1"/>
  <c r="O23" i="14" s="1"/>
  <c r="C73" i="4"/>
  <c r="E65" i="4"/>
  <c r="I39" i="10" l="1"/>
  <c r="I40" i="10" s="1"/>
  <c r="I41" i="10" s="1"/>
  <c r="I42" i="10" s="1"/>
  <c r="I43" i="10" s="1"/>
  <c r="I44" i="10" s="1"/>
  <c r="I45" i="10" s="1"/>
  <c r="I46" i="10" s="1"/>
  <c r="I47" i="10" s="1"/>
  <c r="I48" i="10" s="1"/>
  <c r="I49" i="10" s="1"/>
  <c r="J79" i="13"/>
  <c r="J78" i="13" s="1"/>
  <c r="J67" i="13"/>
  <c r="D103" i="13" s="1"/>
  <c r="I56" i="10"/>
  <c r="I57" i="10" s="1"/>
  <c r="I58" i="10" s="1"/>
  <c r="I59" i="10" s="1"/>
  <c r="G69" i="10"/>
  <c r="G70" i="10" s="1"/>
  <c r="G74" i="10" s="1"/>
  <c r="H18" i="14"/>
  <c r="H19" i="14" s="1"/>
  <c r="H23" i="14" s="1"/>
  <c r="H26" i="14" s="1"/>
  <c r="H27" i="14" s="1"/>
  <c r="H31" i="14" s="1"/>
  <c r="Q16" i="14"/>
  <c r="I42" i="13"/>
  <c r="J57" i="13"/>
  <c r="G17" i="6" s="1"/>
  <c r="G16" i="6" s="1"/>
  <c r="G42" i="13"/>
  <c r="E42" i="13"/>
  <c r="H42" i="13"/>
  <c r="F42" i="13"/>
  <c r="J20" i="13"/>
  <c r="J41" i="13"/>
  <c r="E278" i="10"/>
  <c r="E279" i="10" s="1"/>
  <c r="D105" i="13"/>
  <c r="J62" i="13"/>
  <c r="J61" i="13" s="1"/>
  <c r="D98" i="13" s="1"/>
  <c r="C61" i="13"/>
  <c r="E88" i="13"/>
  <c r="G88" i="13"/>
  <c r="D88" i="13"/>
  <c r="C87" i="13"/>
  <c r="H88" i="13"/>
  <c r="D42" i="13"/>
  <c r="L56" i="10"/>
  <c r="L57" i="10" s="1"/>
  <c r="L58" i="10" s="1"/>
  <c r="L59" i="10" s="1"/>
  <c r="J69" i="10"/>
  <c r="J70" i="10" s="1"/>
  <c r="M23" i="14"/>
  <c r="M24" i="14" s="1"/>
  <c r="K26" i="14"/>
  <c r="K27" i="14" s="1"/>
  <c r="Q23" i="14"/>
  <c r="O26" i="14"/>
  <c r="O27" i="14" s="1"/>
  <c r="O31" i="14" s="1"/>
  <c r="A4" i="7"/>
  <c r="R108" i="5"/>
  <c r="G109" i="5"/>
  <c r="P9" i="5"/>
  <c r="P10" i="5" s="1"/>
  <c r="J34" i="8"/>
  <c r="J15" i="8"/>
  <c r="J32" i="8" s="1"/>
  <c r="C37" i="7"/>
  <c r="A37" i="7"/>
  <c r="C33" i="7"/>
  <c r="A33" i="7"/>
  <c r="C32" i="7"/>
  <c r="D73" i="4" s="1"/>
  <c r="J40" i="8"/>
  <c r="D31" i="2" s="1"/>
  <c r="B30" i="7"/>
  <c r="J39" i="8"/>
  <c r="D129" i="15" s="1"/>
  <c r="B29" i="7"/>
  <c r="D25" i="7"/>
  <c r="B25" i="7"/>
  <c r="D15" i="7"/>
  <c r="D60" i="6"/>
  <c r="S390" i="5"/>
  <c r="S391" i="5" s="1"/>
  <c r="R390" i="5"/>
  <c r="R391" i="5" s="1"/>
  <c r="Q390" i="5"/>
  <c r="O390" i="5"/>
  <c r="O391" i="5" s="1"/>
  <c r="N390" i="5"/>
  <c r="N391" i="5" s="1"/>
  <c r="M390" i="5"/>
  <c r="K390" i="5"/>
  <c r="K391" i="5" s="1"/>
  <c r="J390" i="5"/>
  <c r="J391" i="5" s="1"/>
  <c r="H390" i="5"/>
  <c r="H391" i="5" s="1"/>
  <c r="G390" i="5"/>
  <c r="G391" i="5" s="1"/>
  <c r="F390" i="5"/>
  <c r="F391" i="5" s="1"/>
  <c r="E390" i="5"/>
  <c r="E391" i="5" s="1"/>
  <c r="S160" i="5"/>
  <c r="O160" i="5"/>
  <c r="M159" i="5"/>
  <c r="K159" i="5"/>
  <c r="K160" i="5" s="1"/>
  <c r="J159" i="5"/>
  <c r="H160" i="5"/>
  <c r="F160" i="5"/>
  <c r="E419" i="5"/>
  <c r="C114" i="5"/>
  <c r="S108" i="5"/>
  <c r="S109" i="5" s="1"/>
  <c r="O108" i="5"/>
  <c r="N108" i="5"/>
  <c r="K108" i="5"/>
  <c r="K109" i="5" s="1"/>
  <c r="J108" i="5"/>
  <c r="J109" i="5" s="1"/>
  <c r="H109" i="5"/>
  <c r="F109" i="5"/>
  <c r="T9" i="5"/>
  <c r="T10" i="5" s="1"/>
  <c r="T11" i="5" s="1"/>
  <c r="T12" i="5" s="1"/>
  <c r="T13" i="5" s="1"/>
  <c r="T14" i="5" s="1"/>
  <c r="T15" i="5" s="1"/>
  <c r="T16" i="5" s="1"/>
  <c r="T17" i="5" s="1"/>
  <c r="T18" i="5" s="1"/>
  <c r="T19" i="5" s="1"/>
  <c r="T20" i="5" s="1"/>
  <c r="T21" i="5" s="1"/>
  <c r="T22" i="5" s="1"/>
  <c r="T23" i="5" s="1"/>
  <c r="T24" i="5" s="1"/>
  <c r="T25" i="5" s="1"/>
  <c r="T26" i="5" s="1"/>
  <c r="T27" i="5" s="1"/>
  <c r="T28" i="5" s="1"/>
  <c r="T29" i="5" s="1"/>
  <c r="T30" i="5" s="1"/>
  <c r="T31" i="5" s="1"/>
  <c r="T32" i="5" s="1"/>
  <c r="T33" i="5" s="1"/>
  <c r="T34" i="5" s="1"/>
  <c r="T35" i="5" s="1"/>
  <c r="T36" i="5" s="1"/>
  <c r="T37" i="5" s="1"/>
  <c r="T38" i="5" s="1"/>
  <c r="T39" i="5" s="1"/>
  <c r="T40" i="5" s="1"/>
  <c r="T41" i="5" s="1"/>
  <c r="T42" i="5" s="1"/>
  <c r="T43" i="5" s="1"/>
  <c r="T44" i="5" s="1"/>
  <c r="T45" i="5" s="1"/>
  <c r="T46" i="5" s="1"/>
  <c r="T47" i="5" s="1"/>
  <c r="T48" i="5" s="1"/>
  <c r="T49" i="5" s="1"/>
  <c r="T50" i="5" s="1"/>
  <c r="T51" i="5" s="1"/>
  <c r="T52" i="5" s="1"/>
  <c r="T53" i="5" s="1"/>
  <c r="T54" i="5" s="1"/>
  <c r="T55" i="5" s="1"/>
  <c r="T56" i="5" s="1"/>
  <c r="T57" i="5" s="1"/>
  <c r="T58" i="5" s="1"/>
  <c r="T59" i="5" s="1"/>
  <c r="T60" i="5" s="1"/>
  <c r="T61" i="5" s="1"/>
  <c r="T62" i="5" s="1"/>
  <c r="T63" i="5" s="1"/>
  <c r="T64" i="5" s="1"/>
  <c r="T65" i="5" s="1"/>
  <c r="T66" i="5" s="1"/>
  <c r="T67" i="5" s="1"/>
  <c r="T68" i="5" s="1"/>
  <c r="T69" i="5" s="1"/>
  <c r="T70" i="5" s="1"/>
  <c r="T71" i="5" s="1"/>
  <c r="T72" i="5" s="1"/>
  <c r="T73" i="5" s="1"/>
  <c r="T74" i="5" s="1"/>
  <c r="T75" i="5" s="1"/>
  <c r="T76" i="5" s="1"/>
  <c r="T77" i="5" s="1"/>
  <c r="T78" i="5" s="1"/>
  <c r="T79" i="5" s="1"/>
  <c r="T80" i="5" s="1"/>
  <c r="T81" i="5" s="1"/>
  <c r="T82" i="5" s="1"/>
  <c r="T83" i="5" s="1"/>
  <c r="T84" i="5" s="1"/>
  <c r="T85" i="5" s="1"/>
  <c r="T86" i="5" s="1"/>
  <c r="T87" i="5" s="1"/>
  <c r="T88" i="5" s="1"/>
  <c r="T89" i="5" s="1"/>
  <c r="T90" i="5" s="1"/>
  <c r="T91" i="5" s="1"/>
  <c r="T92" i="5" s="1"/>
  <c r="T93" i="5" s="1"/>
  <c r="T94" i="5" s="1"/>
  <c r="T95" i="5" s="1"/>
  <c r="T96" i="5" s="1"/>
  <c r="T97" i="5" s="1"/>
  <c r="T98" i="5" s="1"/>
  <c r="T99" i="5" s="1"/>
  <c r="T100" i="5" s="1"/>
  <c r="T101" i="5" s="1"/>
  <c r="T102" i="5" s="1"/>
  <c r="T103" i="5" s="1"/>
  <c r="T104" i="5" s="1"/>
  <c r="T105" i="5" s="1"/>
  <c r="T106" i="5" s="1"/>
  <c r="T107" i="5" s="1"/>
  <c r="L9" i="5"/>
  <c r="L10" i="5" s="1"/>
  <c r="L11" i="5" s="1"/>
  <c r="I9" i="5"/>
  <c r="I10" i="5" s="1"/>
  <c r="I11" i="5" s="1"/>
  <c r="I12" i="5" s="1"/>
  <c r="I13" i="5" s="1"/>
  <c r="I14" i="5" s="1"/>
  <c r="I15" i="5" s="1"/>
  <c r="I16" i="5" s="1"/>
  <c r="I17" i="5" s="1"/>
  <c r="I18" i="5" s="1"/>
  <c r="I19" i="5" s="1"/>
  <c r="I20" i="5" s="1"/>
  <c r="I21" i="5" s="1"/>
  <c r="I22" i="5" s="1"/>
  <c r="I23" i="5" s="1"/>
  <c r="I24" i="5" s="1"/>
  <c r="I25" i="5" s="1"/>
  <c r="I26" i="5" s="1"/>
  <c r="I27" i="5" s="1"/>
  <c r="I28" i="5" s="1"/>
  <c r="I29" i="5" s="1"/>
  <c r="I30" i="5" s="1"/>
  <c r="I31" i="5" s="1"/>
  <c r="I32" i="5" s="1"/>
  <c r="I33" i="5" s="1"/>
  <c r="I34" i="5" s="1"/>
  <c r="I35" i="5" s="1"/>
  <c r="I36" i="5" s="1"/>
  <c r="I37" i="5" s="1"/>
  <c r="I38" i="5" s="1"/>
  <c r="I39" i="5" s="1"/>
  <c r="I40" i="5" s="1"/>
  <c r="I41" i="5" s="1"/>
  <c r="I42" i="5" s="1"/>
  <c r="I43" i="5" s="1"/>
  <c r="I44" i="5" s="1"/>
  <c r="I45" i="5" s="1"/>
  <c r="I46" i="5" s="1"/>
  <c r="I47" i="5" s="1"/>
  <c r="I48" i="5" s="1"/>
  <c r="I49" i="5" s="1"/>
  <c r="I50" i="5" s="1"/>
  <c r="I51" i="5" s="1"/>
  <c r="I52" i="5" s="1"/>
  <c r="I53" i="5" s="1"/>
  <c r="I54" i="5" s="1"/>
  <c r="I55" i="5" s="1"/>
  <c r="I56" i="5" s="1"/>
  <c r="I57" i="5" s="1"/>
  <c r="I58" i="5" s="1"/>
  <c r="I59" i="5" s="1"/>
  <c r="I60" i="5" s="1"/>
  <c r="I61" i="5" s="1"/>
  <c r="I62" i="5" s="1"/>
  <c r="I63" i="5" s="1"/>
  <c r="I64" i="5" s="1"/>
  <c r="I65" i="5" s="1"/>
  <c r="I66" i="5" s="1"/>
  <c r="I67" i="5" s="1"/>
  <c r="I68" i="5" s="1"/>
  <c r="I69" i="5" s="1"/>
  <c r="I70" i="5" s="1"/>
  <c r="I71" i="5" s="1"/>
  <c r="I72" i="5" s="1"/>
  <c r="I73" i="5" s="1"/>
  <c r="I74" i="5" s="1"/>
  <c r="I75" i="5" s="1"/>
  <c r="I76" i="5" s="1"/>
  <c r="I77" i="5" s="1"/>
  <c r="I78" i="5" s="1"/>
  <c r="I79" i="5" s="1"/>
  <c r="I80" i="5" s="1"/>
  <c r="I81" i="5" s="1"/>
  <c r="I82" i="5" s="1"/>
  <c r="I83" i="5" s="1"/>
  <c r="I84" i="5" s="1"/>
  <c r="I85" i="5" s="1"/>
  <c r="I86" i="5" s="1"/>
  <c r="I87" i="5" s="1"/>
  <c r="I88" i="5" s="1"/>
  <c r="I89" i="5" s="1"/>
  <c r="I90" i="5" s="1"/>
  <c r="I91" i="5" s="1"/>
  <c r="I92" i="5" s="1"/>
  <c r="I93" i="5" s="1"/>
  <c r="I94" i="5" s="1"/>
  <c r="I95" i="5" s="1"/>
  <c r="I96" i="5" s="1"/>
  <c r="I97" i="5" s="1"/>
  <c r="I98" i="5" s="1"/>
  <c r="I99" i="5" s="1"/>
  <c r="I100" i="5" s="1"/>
  <c r="I101" i="5" s="1"/>
  <c r="I102" i="5" s="1"/>
  <c r="I103" i="5" s="1"/>
  <c r="I104" i="5" s="1"/>
  <c r="I105" i="5" s="1"/>
  <c r="I106" i="5" s="1"/>
  <c r="I107" i="5" s="1"/>
  <c r="F43" i="4"/>
  <c r="D43" i="4"/>
  <c r="F42" i="4"/>
  <c r="H42" i="4"/>
  <c r="F39" i="4"/>
  <c r="D39" i="4"/>
  <c r="F38" i="4"/>
  <c r="D38" i="4"/>
  <c r="F37" i="4"/>
  <c r="D37" i="4"/>
  <c r="F36" i="4"/>
  <c r="D36" i="4"/>
  <c r="F35" i="4"/>
  <c r="D35" i="4"/>
  <c r="F34" i="4"/>
  <c r="D34" i="4"/>
  <c r="F28" i="4"/>
  <c r="F27" i="4" s="1"/>
  <c r="E27" i="4"/>
  <c r="D28" i="4"/>
  <c r="F26" i="4"/>
  <c r="D26" i="4"/>
  <c r="F25" i="4"/>
  <c r="D25" i="4"/>
  <c r="F24" i="4"/>
  <c r="D24" i="4"/>
  <c r="G24" i="4" s="1"/>
  <c r="F20" i="4"/>
  <c r="D20" i="4"/>
  <c r="F19" i="4"/>
  <c r="D19" i="4"/>
  <c r="F18" i="4"/>
  <c r="D18" i="4"/>
  <c r="F14" i="4"/>
  <c r="D14" i="4"/>
  <c r="F13" i="4"/>
  <c r="E169" i="3"/>
  <c r="K168" i="3"/>
  <c r="J168" i="3"/>
  <c r="I168" i="3"/>
  <c r="H168" i="3"/>
  <c r="G168" i="3"/>
  <c r="F168" i="3"/>
  <c r="K167" i="3"/>
  <c r="J167" i="3"/>
  <c r="I167" i="3"/>
  <c r="H167" i="3"/>
  <c r="G167" i="3"/>
  <c r="F167" i="3"/>
  <c r="K166" i="3"/>
  <c r="J166" i="3"/>
  <c r="I166" i="3"/>
  <c r="H166" i="3"/>
  <c r="G166" i="3"/>
  <c r="F166" i="3"/>
  <c r="K165" i="3"/>
  <c r="J165" i="3"/>
  <c r="I165" i="3"/>
  <c r="H165" i="3"/>
  <c r="G165" i="3"/>
  <c r="F165" i="3"/>
  <c r="K164" i="3"/>
  <c r="J164" i="3"/>
  <c r="I164" i="3"/>
  <c r="H164" i="3"/>
  <c r="G164" i="3"/>
  <c r="F164" i="3"/>
  <c r="K163" i="3"/>
  <c r="J163" i="3"/>
  <c r="I163" i="3"/>
  <c r="H163" i="3"/>
  <c r="G163" i="3"/>
  <c r="K162" i="3"/>
  <c r="J162" i="3"/>
  <c r="I162" i="3"/>
  <c r="H162" i="3"/>
  <c r="G162" i="3"/>
  <c r="K161" i="3"/>
  <c r="J161" i="3"/>
  <c r="I161" i="3"/>
  <c r="H161" i="3"/>
  <c r="G161" i="3"/>
  <c r="K160" i="3"/>
  <c r="J160" i="3"/>
  <c r="I160" i="3"/>
  <c r="H160" i="3"/>
  <c r="G160" i="3"/>
  <c r="K159" i="3"/>
  <c r="J159" i="3"/>
  <c r="I159" i="3"/>
  <c r="H159" i="3"/>
  <c r="G159" i="3"/>
  <c r="K158" i="3"/>
  <c r="J158" i="3"/>
  <c r="I158" i="3"/>
  <c r="H158" i="3"/>
  <c r="G158" i="3"/>
  <c r="K157" i="3"/>
  <c r="J157" i="3"/>
  <c r="I157" i="3"/>
  <c r="H157" i="3"/>
  <c r="G157" i="3"/>
  <c r="K156" i="3"/>
  <c r="J156" i="3"/>
  <c r="I156" i="3"/>
  <c r="H156" i="3"/>
  <c r="G156" i="3"/>
  <c r="K155" i="3"/>
  <c r="J155" i="3"/>
  <c r="I155" i="3"/>
  <c r="H155" i="3"/>
  <c r="G155" i="3"/>
  <c r="K154" i="3"/>
  <c r="J154" i="3"/>
  <c r="I154" i="3"/>
  <c r="H154" i="3"/>
  <c r="G154" i="3"/>
  <c r="K153" i="3"/>
  <c r="J153" i="3"/>
  <c r="I153" i="3"/>
  <c r="H153" i="3"/>
  <c r="G153" i="3"/>
  <c r="K152" i="3"/>
  <c r="J152" i="3"/>
  <c r="I152" i="3"/>
  <c r="H152" i="3"/>
  <c r="G152" i="3"/>
  <c r="K151" i="3"/>
  <c r="J151" i="3"/>
  <c r="I151" i="3"/>
  <c r="H151" i="3"/>
  <c r="G151" i="3"/>
  <c r="K150" i="3"/>
  <c r="J150" i="3"/>
  <c r="I150" i="3"/>
  <c r="H150" i="3"/>
  <c r="G150" i="3"/>
  <c r="K149" i="3"/>
  <c r="J149" i="3"/>
  <c r="I149" i="3"/>
  <c r="H149" i="3"/>
  <c r="G149" i="3"/>
  <c r="K148" i="3"/>
  <c r="J148" i="3"/>
  <c r="I148" i="3"/>
  <c r="H148" i="3"/>
  <c r="G148" i="3"/>
  <c r="K147" i="3"/>
  <c r="J147" i="3"/>
  <c r="I147" i="3"/>
  <c r="H147" i="3"/>
  <c r="G147" i="3"/>
  <c r="K146" i="3"/>
  <c r="J146" i="3"/>
  <c r="I146" i="3"/>
  <c r="H146" i="3"/>
  <c r="G146" i="3"/>
  <c r="K145" i="3"/>
  <c r="J145" i="3"/>
  <c r="I145" i="3"/>
  <c r="H145" i="3"/>
  <c r="G145" i="3"/>
  <c r="K144" i="3"/>
  <c r="J144" i="3"/>
  <c r="I144" i="3"/>
  <c r="H144" i="3"/>
  <c r="G144" i="3"/>
  <c r="K143" i="3"/>
  <c r="J143" i="3"/>
  <c r="I143" i="3"/>
  <c r="H143" i="3"/>
  <c r="G143" i="3"/>
  <c r="K142" i="3"/>
  <c r="J142" i="3"/>
  <c r="I142" i="3"/>
  <c r="H142" i="3"/>
  <c r="G142" i="3"/>
  <c r="K141" i="3"/>
  <c r="J141" i="3"/>
  <c r="I141" i="3"/>
  <c r="H141" i="3"/>
  <c r="G141" i="3"/>
  <c r="K140" i="3"/>
  <c r="J140" i="3"/>
  <c r="I140" i="3"/>
  <c r="H140" i="3"/>
  <c r="G140" i="3"/>
  <c r="K139" i="3"/>
  <c r="J139" i="3"/>
  <c r="I139" i="3"/>
  <c r="H139" i="3"/>
  <c r="G139" i="3"/>
  <c r="K138" i="3"/>
  <c r="J138" i="3"/>
  <c r="I138" i="3"/>
  <c r="H138" i="3"/>
  <c r="G138" i="3"/>
  <c r="K137" i="3"/>
  <c r="J137" i="3"/>
  <c r="I137" i="3"/>
  <c r="H137" i="3"/>
  <c r="G137" i="3"/>
  <c r="K136" i="3"/>
  <c r="J136" i="3"/>
  <c r="I136" i="3"/>
  <c r="H136" i="3"/>
  <c r="G136" i="3"/>
  <c r="K135" i="3"/>
  <c r="J135" i="3"/>
  <c r="I135" i="3"/>
  <c r="H135" i="3"/>
  <c r="G135" i="3"/>
  <c r="K134" i="3"/>
  <c r="J134" i="3"/>
  <c r="I134" i="3"/>
  <c r="H134" i="3"/>
  <c r="G134" i="3"/>
  <c r="K133" i="3"/>
  <c r="J133" i="3"/>
  <c r="I133" i="3"/>
  <c r="H133" i="3"/>
  <c r="G133" i="3"/>
  <c r="K132" i="3"/>
  <c r="J132" i="3"/>
  <c r="I132" i="3"/>
  <c r="H132" i="3"/>
  <c r="G132" i="3"/>
  <c r="K131" i="3"/>
  <c r="J131" i="3"/>
  <c r="I131" i="3"/>
  <c r="H131" i="3"/>
  <c r="G131" i="3"/>
  <c r="K130" i="3"/>
  <c r="J130" i="3"/>
  <c r="I130" i="3"/>
  <c r="H130" i="3"/>
  <c r="G130" i="3"/>
  <c r="K129" i="3"/>
  <c r="J129" i="3"/>
  <c r="I129" i="3"/>
  <c r="H129" i="3"/>
  <c r="G129" i="3"/>
  <c r="K128" i="3"/>
  <c r="J128" i="3"/>
  <c r="I128" i="3"/>
  <c r="H128" i="3"/>
  <c r="G128" i="3"/>
  <c r="K127" i="3"/>
  <c r="J127" i="3"/>
  <c r="I127" i="3"/>
  <c r="H127" i="3"/>
  <c r="G127" i="3"/>
  <c r="K126" i="3"/>
  <c r="J126" i="3"/>
  <c r="I126" i="3"/>
  <c r="H126" i="3"/>
  <c r="G126" i="3"/>
  <c r="K125" i="3"/>
  <c r="J125" i="3"/>
  <c r="I125" i="3"/>
  <c r="H125" i="3"/>
  <c r="G125" i="3"/>
  <c r="K124" i="3"/>
  <c r="J124" i="3"/>
  <c r="I124" i="3"/>
  <c r="H124" i="3"/>
  <c r="G124" i="3"/>
  <c r="K123" i="3"/>
  <c r="J123" i="3"/>
  <c r="I123" i="3"/>
  <c r="H123" i="3"/>
  <c r="G123" i="3"/>
  <c r="K122" i="3"/>
  <c r="J122" i="3"/>
  <c r="I122" i="3"/>
  <c r="H122" i="3"/>
  <c r="G122" i="3"/>
  <c r="K121" i="3"/>
  <c r="J121" i="3"/>
  <c r="I121" i="3"/>
  <c r="H121" i="3"/>
  <c r="G121" i="3"/>
  <c r="K120" i="3"/>
  <c r="J120" i="3"/>
  <c r="I120" i="3"/>
  <c r="H120" i="3"/>
  <c r="G120" i="3"/>
  <c r="K119" i="3"/>
  <c r="J119" i="3"/>
  <c r="I119" i="3"/>
  <c r="H119" i="3"/>
  <c r="G119" i="3"/>
  <c r="K118" i="3"/>
  <c r="J118" i="3"/>
  <c r="I118" i="3"/>
  <c r="H118" i="3"/>
  <c r="G118" i="3"/>
  <c r="K117" i="3"/>
  <c r="J117" i="3"/>
  <c r="I117" i="3"/>
  <c r="H117" i="3"/>
  <c r="G117" i="3"/>
  <c r="K116" i="3"/>
  <c r="J116" i="3"/>
  <c r="I116" i="3"/>
  <c r="H116" i="3"/>
  <c r="G116" i="3"/>
  <c r="K115" i="3"/>
  <c r="J115" i="3"/>
  <c r="I115" i="3"/>
  <c r="H115" i="3"/>
  <c r="G115" i="3"/>
  <c r="K114" i="3"/>
  <c r="J114" i="3"/>
  <c r="I114" i="3"/>
  <c r="H114" i="3"/>
  <c r="G114" i="3"/>
  <c r="K113" i="3"/>
  <c r="J113" i="3"/>
  <c r="I113" i="3"/>
  <c r="H113" i="3"/>
  <c r="G113" i="3"/>
  <c r="K112" i="3"/>
  <c r="J112" i="3"/>
  <c r="I112" i="3"/>
  <c r="H112" i="3"/>
  <c r="G112" i="3"/>
  <c r="K111" i="3"/>
  <c r="J111" i="3"/>
  <c r="I111" i="3"/>
  <c r="H111" i="3"/>
  <c r="G111" i="3"/>
  <c r="K110" i="3"/>
  <c r="J110" i="3"/>
  <c r="I110" i="3"/>
  <c r="H110" i="3"/>
  <c r="G110" i="3"/>
  <c r="K109" i="3"/>
  <c r="J109" i="3"/>
  <c r="I109" i="3"/>
  <c r="H109" i="3"/>
  <c r="G109" i="3"/>
  <c r="K108" i="3"/>
  <c r="J108" i="3"/>
  <c r="I108" i="3"/>
  <c r="H108" i="3"/>
  <c r="G108" i="3"/>
  <c r="K107" i="3"/>
  <c r="J107" i="3"/>
  <c r="I107" i="3"/>
  <c r="H107" i="3"/>
  <c r="G107" i="3"/>
  <c r="K106" i="3"/>
  <c r="J106" i="3"/>
  <c r="I106" i="3"/>
  <c r="H106" i="3"/>
  <c r="G106" i="3"/>
  <c r="K105" i="3"/>
  <c r="J105" i="3"/>
  <c r="I105" i="3"/>
  <c r="H105" i="3"/>
  <c r="G105" i="3"/>
  <c r="K104" i="3"/>
  <c r="J104" i="3"/>
  <c r="I104" i="3"/>
  <c r="H104" i="3"/>
  <c r="G104" i="3"/>
  <c r="K103" i="3"/>
  <c r="J103" i="3"/>
  <c r="I103" i="3"/>
  <c r="H103" i="3"/>
  <c r="G103" i="3"/>
  <c r="K102" i="3"/>
  <c r="J102" i="3"/>
  <c r="I102" i="3"/>
  <c r="H102" i="3"/>
  <c r="G102" i="3"/>
  <c r="K101" i="3"/>
  <c r="J101" i="3"/>
  <c r="I101" i="3"/>
  <c r="H101" i="3"/>
  <c r="G101" i="3"/>
  <c r="K100" i="3"/>
  <c r="J100" i="3"/>
  <c r="I100" i="3"/>
  <c r="H100" i="3"/>
  <c r="G100" i="3"/>
  <c r="K99" i="3"/>
  <c r="J99" i="3"/>
  <c r="I99" i="3"/>
  <c r="H99" i="3"/>
  <c r="G99" i="3"/>
  <c r="K98" i="3"/>
  <c r="J98" i="3"/>
  <c r="I98" i="3"/>
  <c r="H98" i="3"/>
  <c r="G98" i="3"/>
  <c r="K97" i="3"/>
  <c r="J97" i="3"/>
  <c r="I97" i="3"/>
  <c r="H97" i="3"/>
  <c r="G97" i="3"/>
  <c r="K96" i="3"/>
  <c r="J96" i="3"/>
  <c r="I96" i="3"/>
  <c r="H96" i="3"/>
  <c r="G96" i="3"/>
  <c r="K95" i="3"/>
  <c r="J95" i="3"/>
  <c r="I95" i="3"/>
  <c r="H95" i="3"/>
  <c r="G95" i="3"/>
  <c r="K94" i="3"/>
  <c r="J94" i="3"/>
  <c r="I94" i="3"/>
  <c r="H94" i="3"/>
  <c r="G94" i="3"/>
  <c r="K93" i="3"/>
  <c r="J93" i="3"/>
  <c r="H93" i="3"/>
  <c r="G93" i="3"/>
  <c r="K92" i="3"/>
  <c r="J92" i="3"/>
  <c r="I92" i="3"/>
  <c r="H92" i="3"/>
  <c r="G92" i="3"/>
  <c r="K91" i="3"/>
  <c r="J91" i="3"/>
  <c r="I91" i="3"/>
  <c r="H91" i="3"/>
  <c r="G91" i="3"/>
  <c r="K90" i="3"/>
  <c r="J90" i="3"/>
  <c r="I90" i="3"/>
  <c r="H90" i="3"/>
  <c r="G90" i="3"/>
  <c r="F90" i="3"/>
  <c r="E73" i="3"/>
  <c r="K71" i="3"/>
  <c r="J71" i="3"/>
  <c r="I71" i="3"/>
  <c r="H71" i="3"/>
  <c r="G71" i="3"/>
  <c r="F71" i="3"/>
  <c r="K70" i="3"/>
  <c r="J70" i="3"/>
  <c r="I70" i="3"/>
  <c r="H70" i="3"/>
  <c r="G70" i="3"/>
  <c r="F70" i="3"/>
  <c r="K69" i="3"/>
  <c r="J69" i="3"/>
  <c r="I69" i="3"/>
  <c r="H69" i="3"/>
  <c r="G69" i="3"/>
  <c r="F69" i="3"/>
  <c r="K68" i="3"/>
  <c r="J68" i="3"/>
  <c r="I68" i="3"/>
  <c r="H68" i="3"/>
  <c r="G68" i="3"/>
  <c r="F68" i="3"/>
  <c r="K67" i="3"/>
  <c r="J67" i="3"/>
  <c r="I67" i="3"/>
  <c r="H67" i="3"/>
  <c r="G67" i="3"/>
  <c r="F67" i="3"/>
  <c r="K66" i="3"/>
  <c r="J66" i="3"/>
  <c r="I66" i="3"/>
  <c r="H66" i="3"/>
  <c r="G66" i="3"/>
  <c r="F66" i="3"/>
  <c r="K65" i="3"/>
  <c r="J65" i="3"/>
  <c r="I65" i="3"/>
  <c r="H65" i="3"/>
  <c r="G65" i="3"/>
  <c r="F65" i="3"/>
  <c r="K64" i="3"/>
  <c r="J64" i="3"/>
  <c r="I64" i="3"/>
  <c r="H64" i="3"/>
  <c r="G64" i="3"/>
  <c r="F64" i="3"/>
  <c r="K63" i="3"/>
  <c r="J63" i="3"/>
  <c r="I63" i="3"/>
  <c r="H63" i="3"/>
  <c r="G63" i="3"/>
  <c r="F63" i="3"/>
  <c r="K62" i="3"/>
  <c r="J62" i="3"/>
  <c r="I62" i="3"/>
  <c r="H62" i="3"/>
  <c r="G62" i="3"/>
  <c r="F62" i="3"/>
  <c r="K61" i="3"/>
  <c r="J61" i="3"/>
  <c r="I61" i="3"/>
  <c r="H61" i="3"/>
  <c r="G61" i="3"/>
  <c r="F61" i="3"/>
  <c r="K60" i="3"/>
  <c r="J60" i="3"/>
  <c r="I60" i="3"/>
  <c r="H60" i="3"/>
  <c r="G60" i="3"/>
  <c r="F60" i="3"/>
  <c r="K59" i="3"/>
  <c r="J59" i="3"/>
  <c r="I59" i="3"/>
  <c r="H59" i="3"/>
  <c r="G59" i="3"/>
  <c r="F59" i="3"/>
  <c r="K58" i="3"/>
  <c r="J58" i="3"/>
  <c r="I58" i="3"/>
  <c r="H58" i="3"/>
  <c r="G58" i="3"/>
  <c r="F58" i="3"/>
  <c r="K57" i="3"/>
  <c r="J57" i="3"/>
  <c r="I57" i="3"/>
  <c r="H57" i="3"/>
  <c r="G57" i="3"/>
  <c r="F57" i="3"/>
  <c r="K56" i="3"/>
  <c r="J56" i="3"/>
  <c r="I56" i="3"/>
  <c r="H56" i="3"/>
  <c r="G56" i="3"/>
  <c r="F56" i="3"/>
  <c r="K55" i="3"/>
  <c r="J55" i="3"/>
  <c r="I55" i="3"/>
  <c r="H55" i="3"/>
  <c r="G55" i="3"/>
  <c r="F55" i="3"/>
  <c r="K54" i="3"/>
  <c r="J54" i="3"/>
  <c r="I54" i="3"/>
  <c r="H54" i="3"/>
  <c r="G54" i="3"/>
  <c r="F54" i="3"/>
  <c r="K53" i="3"/>
  <c r="J53" i="3"/>
  <c r="I53" i="3"/>
  <c r="H53" i="3"/>
  <c r="G53" i="3"/>
  <c r="F53" i="3"/>
  <c r="K52" i="3"/>
  <c r="J52" i="3"/>
  <c r="I52" i="3"/>
  <c r="H52" i="3"/>
  <c r="G52" i="3"/>
  <c r="F52" i="3"/>
  <c r="K51" i="3"/>
  <c r="J51" i="3"/>
  <c r="I51" i="3"/>
  <c r="H51" i="3"/>
  <c r="G51" i="3"/>
  <c r="F51" i="3"/>
  <c r="K50" i="3"/>
  <c r="J50" i="3"/>
  <c r="I50" i="3"/>
  <c r="H50" i="3"/>
  <c r="G50" i="3"/>
  <c r="F50" i="3"/>
  <c r="K49" i="3"/>
  <c r="J49" i="3"/>
  <c r="I49" i="3"/>
  <c r="H49" i="3"/>
  <c r="G49" i="3"/>
  <c r="F49" i="3"/>
  <c r="K48" i="3"/>
  <c r="J48" i="3"/>
  <c r="I48" i="3"/>
  <c r="H48" i="3"/>
  <c r="G48" i="3"/>
  <c r="F48" i="3"/>
  <c r="K47" i="3"/>
  <c r="J47" i="3"/>
  <c r="I47" i="3"/>
  <c r="H47" i="3"/>
  <c r="G47" i="3"/>
  <c r="F47" i="3"/>
  <c r="K46" i="3"/>
  <c r="J46" i="3"/>
  <c r="I46" i="3"/>
  <c r="H46" i="3"/>
  <c r="G46" i="3"/>
  <c r="F46" i="3"/>
  <c r="K45" i="3"/>
  <c r="J45" i="3"/>
  <c r="I45" i="3"/>
  <c r="H45" i="3"/>
  <c r="G45" i="3"/>
  <c r="F45" i="3"/>
  <c r="K44" i="3"/>
  <c r="J44" i="3"/>
  <c r="I44" i="3"/>
  <c r="H44" i="3"/>
  <c r="G44" i="3"/>
  <c r="F44" i="3"/>
  <c r="K43" i="3"/>
  <c r="J43" i="3"/>
  <c r="I43" i="3"/>
  <c r="H43" i="3"/>
  <c r="G43" i="3"/>
  <c r="F43" i="3"/>
  <c r="K42" i="3"/>
  <c r="J42" i="3"/>
  <c r="I42" i="3"/>
  <c r="H42" i="3"/>
  <c r="G42" i="3"/>
  <c r="F42" i="3"/>
  <c r="K41" i="3"/>
  <c r="J41" i="3"/>
  <c r="I41" i="3"/>
  <c r="H41" i="3"/>
  <c r="G41" i="3"/>
  <c r="F41" i="3"/>
  <c r="K40" i="3"/>
  <c r="J40" i="3"/>
  <c r="I40" i="3"/>
  <c r="H40" i="3"/>
  <c r="G40" i="3"/>
  <c r="F40" i="3"/>
  <c r="K39" i="3"/>
  <c r="J39" i="3"/>
  <c r="I39" i="3"/>
  <c r="H39" i="3"/>
  <c r="G39" i="3"/>
  <c r="F39" i="3"/>
  <c r="K38" i="3"/>
  <c r="J38" i="3"/>
  <c r="I38" i="3"/>
  <c r="H38" i="3"/>
  <c r="G38" i="3"/>
  <c r="F38" i="3"/>
  <c r="K37" i="3"/>
  <c r="J37" i="3"/>
  <c r="I37" i="3"/>
  <c r="H37" i="3"/>
  <c r="G37" i="3"/>
  <c r="F37" i="3"/>
  <c r="K36" i="3"/>
  <c r="J36" i="3"/>
  <c r="I36" i="3"/>
  <c r="H36" i="3"/>
  <c r="G36" i="3"/>
  <c r="F36" i="3"/>
  <c r="K35" i="3"/>
  <c r="J35" i="3"/>
  <c r="I35" i="3"/>
  <c r="H35" i="3"/>
  <c r="G35" i="3"/>
  <c r="F35" i="3"/>
  <c r="K34" i="3"/>
  <c r="J34" i="3"/>
  <c r="I34" i="3"/>
  <c r="H34" i="3"/>
  <c r="G34" i="3"/>
  <c r="F34" i="3"/>
  <c r="K33" i="3"/>
  <c r="J33" i="3"/>
  <c r="I33" i="3"/>
  <c r="H33" i="3"/>
  <c r="G33" i="3"/>
  <c r="F33" i="3"/>
  <c r="K32" i="3"/>
  <c r="J32" i="3"/>
  <c r="I32" i="3"/>
  <c r="H32" i="3"/>
  <c r="G32" i="3"/>
  <c r="F32" i="3"/>
  <c r="K31" i="3"/>
  <c r="J31" i="3"/>
  <c r="I31" i="3"/>
  <c r="H31" i="3"/>
  <c r="G31" i="3"/>
  <c r="F31" i="3"/>
  <c r="K30" i="3"/>
  <c r="J30" i="3"/>
  <c r="I30" i="3"/>
  <c r="H30" i="3"/>
  <c r="G30" i="3"/>
  <c r="F30" i="3"/>
  <c r="K29" i="3"/>
  <c r="J29" i="3"/>
  <c r="I29" i="3"/>
  <c r="H29" i="3"/>
  <c r="G29" i="3"/>
  <c r="F29" i="3"/>
  <c r="K28" i="3"/>
  <c r="J28" i="3"/>
  <c r="I28" i="3"/>
  <c r="H28" i="3"/>
  <c r="G28" i="3"/>
  <c r="F28" i="3"/>
  <c r="K27" i="3"/>
  <c r="J27" i="3"/>
  <c r="I27" i="3"/>
  <c r="H27" i="3"/>
  <c r="G27" i="3"/>
  <c r="F27" i="3"/>
  <c r="K26" i="3"/>
  <c r="J26" i="3"/>
  <c r="I26" i="3"/>
  <c r="H26" i="3"/>
  <c r="G26" i="3"/>
  <c r="F26" i="3"/>
  <c r="K25" i="3"/>
  <c r="J25" i="3"/>
  <c r="I25" i="3"/>
  <c r="H25" i="3"/>
  <c r="G25" i="3"/>
  <c r="F25" i="3"/>
  <c r="K24" i="3"/>
  <c r="J24" i="3"/>
  <c r="I24" i="3"/>
  <c r="H24" i="3"/>
  <c r="G24" i="3"/>
  <c r="F24" i="3"/>
  <c r="K23" i="3"/>
  <c r="J23" i="3"/>
  <c r="I23" i="3"/>
  <c r="H23" i="3"/>
  <c r="G23" i="3"/>
  <c r="F23" i="3"/>
  <c r="K22" i="3"/>
  <c r="J22" i="3"/>
  <c r="I22" i="3"/>
  <c r="H22" i="3"/>
  <c r="G22" i="3"/>
  <c r="F22" i="3"/>
  <c r="K21" i="3"/>
  <c r="J21" i="3"/>
  <c r="I21" i="3"/>
  <c r="H21" i="3"/>
  <c r="G21" i="3"/>
  <c r="F21" i="3"/>
  <c r="K20" i="3"/>
  <c r="J20" i="3"/>
  <c r="I20" i="3"/>
  <c r="H20" i="3"/>
  <c r="G20" i="3"/>
  <c r="F20" i="3"/>
  <c r="K19" i="3"/>
  <c r="J19" i="3"/>
  <c r="I19" i="3"/>
  <c r="H19" i="3"/>
  <c r="G19" i="3"/>
  <c r="F19" i="3"/>
  <c r="K18" i="3"/>
  <c r="J18" i="3"/>
  <c r="I18" i="3"/>
  <c r="H18" i="3"/>
  <c r="G18" i="3"/>
  <c r="F18" i="3"/>
  <c r="K17" i="3"/>
  <c r="J17" i="3"/>
  <c r="I17" i="3"/>
  <c r="H17" i="3"/>
  <c r="G17" i="3"/>
  <c r="F17" i="3"/>
  <c r="K16" i="3"/>
  <c r="J16" i="3"/>
  <c r="I16" i="3"/>
  <c r="H16" i="3"/>
  <c r="G16" i="3"/>
  <c r="F16" i="3"/>
  <c r="K15" i="3"/>
  <c r="J15" i="3"/>
  <c r="I15" i="3"/>
  <c r="H15" i="3"/>
  <c r="G15" i="3"/>
  <c r="F15" i="3"/>
  <c r="K14" i="3"/>
  <c r="J14" i="3"/>
  <c r="I14" i="3"/>
  <c r="H14" i="3"/>
  <c r="G14" i="3"/>
  <c r="F14" i="3"/>
  <c r="K13" i="3"/>
  <c r="J13" i="3"/>
  <c r="I13" i="3"/>
  <c r="H13" i="3"/>
  <c r="G13" i="3"/>
  <c r="F13" i="3"/>
  <c r="K12" i="3"/>
  <c r="J12" i="3"/>
  <c r="I12" i="3"/>
  <c r="H12" i="3"/>
  <c r="G12" i="3"/>
  <c r="F12" i="3"/>
  <c r="K11" i="3"/>
  <c r="J11" i="3"/>
  <c r="I11" i="3"/>
  <c r="H11" i="3"/>
  <c r="G11" i="3"/>
  <c r="F11" i="3"/>
  <c r="K10" i="3"/>
  <c r="J10" i="3"/>
  <c r="H10" i="3"/>
  <c r="G10" i="3"/>
  <c r="F10" i="3"/>
  <c r="K9" i="3"/>
  <c r="J9" i="3"/>
  <c r="I9" i="3"/>
  <c r="H9" i="3"/>
  <c r="G9" i="3"/>
  <c r="F9" i="3"/>
  <c r="K8" i="3"/>
  <c r="J8" i="3"/>
  <c r="I8" i="3"/>
  <c r="H8" i="3"/>
  <c r="G8" i="3"/>
  <c r="F8" i="3"/>
  <c r="K7" i="3"/>
  <c r="J7" i="3"/>
  <c r="I7" i="3"/>
  <c r="H7" i="3"/>
  <c r="G7" i="3"/>
  <c r="F7" i="3"/>
  <c r="B31" i="2"/>
  <c r="J94" i="1"/>
  <c r="B26" i="2"/>
  <c r="E23" i="2"/>
  <c r="D23" i="2"/>
  <c r="D85" i="1"/>
  <c r="H84" i="1"/>
  <c r="G84" i="1"/>
  <c r="F84" i="1"/>
  <c r="E84" i="1"/>
  <c r="H83" i="1"/>
  <c r="G83" i="1"/>
  <c r="F83" i="1"/>
  <c r="E83" i="1"/>
  <c r="H82" i="1"/>
  <c r="G82" i="1"/>
  <c r="F82" i="1"/>
  <c r="E82" i="1"/>
  <c r="H81" i="1"/>
  <c r="G81" i="1"/>
  <c r="F81" i="1"/>
  <c r="E81" i="1"/>
  <c r="H80" i="1"/>
  <c r="G80" i="1"/>
  <c r="F80" i="1"/>
  <c r="E80" i="1"/>
  <c r="H79" i="1"/>
  <c r="G79" i="1"/>
  <c r="F79" i="1"/>
  <c r="E79" i="1"/>
  <c r="H78" i="1"/>
  <c r="G78" i="1"/>
  <c r="F78" i="1"/>
  <c r="E78" i="1"/>
  <c r="H77" i="1"/>
  <c r="G77" i="1"/>
  <c r="F77" i="1"/>
  <c r="E77" i="1"/>
  <c r="H76" i="1"/>
  <c r="G76" i="1"/>
  <c r="F76" i="1"/>
  <c r="E76" i="1"/>
  <c r="H75" i="1"/>
  <c r="G75" i="1"/>
  <c r="F75" i="1"/>
  <c r="E75" i="1"/>
  <c r="H74" i="1"/>
  <c r="G74" i="1"/>
  <c r="F74" i="1"/>
  <c r="E74" i="1"/>
  <c r="H73" i="1"/>
  <c r="G73" i="1"/>
  <c r="F73" i="1"/>
  <c r="E73" i="1"/>
  <c r="H72" i="1"/>
  <c r="G72" i="1"/>
  <c r="F72" i="1"/>
  <c r="E72" i="1"/>
  <c r="H71" i="1"/>
  <c r="G71" i="1"/>
  <c r="F71" i="1"/>
  <c r="E71" i="1"/>
  <c r="H70" i="1"/>
  <c r="G70" i="1"/>
  <c r="F70" i="1"/>
  <c r="E70" i="1"/>
  <c r="H69" i="1"/>
  <c r="G69" i="1"/>
  <c r="F69" i="1"/>
  <c r="E69" i="1"/>
  <c r="H68" i="1"/>
  <c r="G68" i="1"/>
  <c r="F68" i="1"/>
  <c r="E68" i="1"/>
  <c r="H67" i="1"/>
  <c r="G67" i="1"/>
  <c r="F67" i="1"/>
  <c r="E67" i="1"/>
  <c r="H66" i="1"/>
  <c r="G66" i="1"/>
  <c r="F66" i="1"/>
  <c r="E66" i="1"/>
  <c r="H65" i="1"/>
  <c r="G65" i="1"/>
  <c r="E65" i="1"/>
  <c r="H64" i="1"/>
  <c r="G64" i="1"/>
  <c r="F64" i="1"/>
  <c r="E64" i="1"/>
  <c r="H63" i="1"/>
  <c r="G63" i="1"/>
  <c r="F63" i="1"/>
  <c r="E63" i="1"/>
  <c r="H62" i="1"/>
  <c r="G62" i="1"/>
  <c r="F62" i="1"/>
  <c r="E62" i="1"/>
  <c r="H61" i="1"/>
  <c r="G61" i="1"/>
  <c r="F61" i="1"/>
  <c r="E61" i="1"/>
  <c r="H60" i="1"/>
  <c r="G60" i="1"/>
  <c r="F60" i="1"/>
  <c r="E60" i="1"/>
  <c r="H59" i="1"/>
  <c r="G59" i="1"/>
  <c r="F59" i="1"/>
  <c r="E59" i="1"/>
  <c r="H58" i="1"/>
  <c r="G58" i="1"/>
  <c r="F58" i="1"/>
  <c r="E58" i="1"/>
  <c r="H57" i="1"/>
  <c r="G57" i="1"/>
  <c r="F57" i="1"/>
  <c r="E57" i="1"/>
  <c r="H56" i="1"/>
  <c r="G56" i="1"/>
  <c r="F56" i="1"/>
  <c r="E56" i="1"/>
  <c r="H55" i="1"/>
  <c r="G55" i="1"/>
  <c r="F55" i="1"/>
  <c r="E55" i="1"/>
  <c r="H54" i="1"/>
  <c r="G54" i="1"/>
  <c r="F54" i="1"/>
  <c r="E54" i="1"/>
  <c r="H53" i="1"/>
  <c r="G53" i="1"/>
  <c r="F53" i="1"/>
  <c r="E53" i="1"/>
  <c r="H52" i="1"/>
  <c r="G52" i="1"/>
  <c r="F52" i="1"/>
  <c r="E52" i="1"/>
  <c r="H51" i="1"/>
  <c r="G51" i="1"/>
  <c r="F51" i="1"/>
  <c r="E51" i="1"/>
  <c r="H50" i="1"/>
  <c r="G50" i="1"/>
  <c r="F50" i="1"/>
  <c r="E50" i="1"/>
  <c r="H49" i="1"/>
  <c r="G49" i="1"/>
  <c r="F49" i="1"/>
  <c r="E49" i="1"/>
  <c r="H48" i="1"/>
  <c r="G48" i="1"/>
  <c r="F48" i="1"/>
  <c r="E48" i="1"/>
  <c r="H47" i="1"/>
  <c r="G47" i="1"/>
  <c r="F47" i="1"/>
  <c r="E47" i="1"/>
  <c r="H46" i="1"/>
  <c r="G46" i="1"/>
  <c r="F46" i="1"/>
  <c r="E46" i="1"/>
  <c r="H45" i="1"/>
  <c r="G45" i="1"/>
  <c r="F45" i="1"/>
  <c r="E45" i="1"/>
  <c r="H44" i="1"/>
  <c r="G44" i="1"/>
  <c r="F44" i="1"/>
  <c r="E44" i="1"/>
  <c r="H43" i="1"/>
  <c r="G43" i="1"/>
  <c r="F43" i="1"/>
  <c r="E43" i="1"/>
  <c r="H42" i="1"/>
  <c r="G42" i="1"/>
  <c r="E42" i="1"/>
  <c r="H41" i="1"/>
  <c r="G41" i="1"/>
  <c r="F41" i="1"/>
  <c r="E41" i="1"/>
  <c r="H40" i="1"/>
  <c r="G40" i="1"/>
  <c r="F40" i="1"/>
  <c r="E40" i="1"/>
  <c r="H39" i="1"/>
  <c r="G39" i="1"/>
  <c r="F39" i="1"/>
  <c r="E39" i="1"/>
  <c r="H38" i="1"/>
  <c r="G38" i="1"/>
  <c r="F38" i="1"/>
  <c r="E38" i="1"/>
  <c r="H37" i="1"/>
  <c r="G37" i="1"/>
  <c r="F37" i="1"/>
  <c r="E37" i="1"/>
  <c r="H36" i="1"/>
  <c r="G36" i="1"/>
  <c r="F36" i="1"/>
  <c r="E36" i="1"/>
  <c r="H35" i="1"/>
  <c r="G35" i="1"/>
  <c r="F35" i="1"/>
  <c r="E35" i="1"/>
  <c r="H34" i="1"/>
  <c r="G34" i="1"/>
  <c r="F34" i="1"/>
  <c r="E34" i="1"/>
  <c r="H33" i="1"/>
  <c r="G33" i="1"/>
  <c r="F33" i="1"/>
  <c r="E33" i="1"/>
  <c r="H32" i="1"/>
  <c r="G32" i="1"/>
  <c r="F32" i="1"/>
  <c r="E32" i="1"/>
  <c r="H31" i="1"/>
  <c r="G31" i="1"/>
  <c r="F31" i="1"/>
  <c r="E31" i="1"/>
  <c r="H30" i="1"/>
  <c r="G30" i="1"/>
  <c r="F30" i="1"/>
  <c r="E30" i="1"/>
  <c r="H29" i="1"/>
  <c r="G29" i="1"/>
  <c r="F29" i="1"/>
  <c r="E29" i="1"/>
  <c r="H28" i="1"/>
  <c r="G28" i="1"/>
  <c r="F28" i="1"/>
  <c r="E28" i="1"/>
  <c r="H27" i="1"/>
  <c r="G27" i="1"/>
  <c r="F27" i="1"/>
  <c r="E27" i="1"/>
  <c r="H26" i="1"/>
  <c r="G26" i="1"/>
  <c r="F26" i="1"/>
  <c r="E26" i="1"/>
  <c r="H25" i="1"/>
  <c r="G25" i="1"/>
  <c r="F25" i="1"/>
  <c r="E25" i="1"/>
  <c r="H24" i="1"/>
  <c r="G24" i="1"/>
  <c r="F24" i="1"/>
  <c r="E24" i="1"/>
  <c r="H23" i="1"/>
  <c r="G23" i="1"/>
  <c r="F23" i="1"/>
  <c r="E23" i="1"/>
  <c r="H22" i="1"/>
  <c r="G22" i="1"/>
  <c r="F22" i="1"/>
  <c r="E22" i="1"/>
  <c r="H21" i="1"/>
  <c r="G21" i="1"/>
  <c r="F21" i="1"/>
  <c r="E21" i="1"/>
  <c r="H20" i="1"/>
  <c r="G20" i="1"/>
  <c r="F20" i="1"/>
  <c r="E20" i="1"/>
  <c r="H19" i="1"/>
  <c r="G19" i="1"/>
  <c r="F19" i="1"/>
  <c r="E19" i="1"/>
  <c r="H18" i="1"/>
  <c r="G18" i="1"/>
  <c r="F18" i="1"/>
  <c r="E18" i="1"/>
  <c r="H17" i="1"/>
  <c r="G17" i="1"/>
  <c r="F17" i="1"/>
  <c r="E17" i="1"/>
  <c r="H16" i="1"/>
  <c r="G16" i="1"/>
  <c r="F16" i="1"/>
  <c r="E16" i="1"/>
  <c r="H15" i="1"/>
  <c r="G15" i="1"/>
  <c r="F15" i="1"/>
  <c r="E15" i="1"/>
  <c r="H14" i="1"/>
  <c r="G14" i="1"/>
  <c r="F14" i="1"/>
  <c r="E14" i="1"/>
  <c r="H13" i="1"/>
  <c r="G13" i="1"/>
  <c r="F13" i="1"/>
  <c r="E13" i="1"/>
  <c r="H12" i="1"/>
  <c r="G12" i="1"/>
  <c r="F12" i="1"/>
  <c r="E12" i="1"/>
  <c r="H11" i="1"/>
  <c r="G11" i="1"/>
  <c r="F11" i="1"/>
  <c r="E11" i="1"/>
  <c r="H10" i="1"/>
  <c r="G10" i="1"/>
  <c r="F10" i="1"/>
  <c r="E10" i="1"/>
  <c r="H9" i="1"/>
  <c r="G9" i="1"/>
  <c r="F9" i="1"/>
  <c r="P11" i="5" l="1"/>
  <c r="P12" i="5" s="1"/>
  <c r="P13" i="5" s="1"/>
  <c r="P14" i="5" s="1"/>
  <c r="P15" i="5" s="1"/>
  <c r="P16" i="5" s="1"/>
  <c r="P17" i="5" s="1"/>
  <c r="P18" i="5" s="1"/>
  <c r="P19" i="5" s="1"/>
  <c r="P20" i="5" s="1"/>
  <c r="P21" i="5" s="1"/>
  <c r="P22" i="5" s="1"/>
  <c r="F169" i="3"/>
  <c r="G25" i="4"/>
  <c r="G23" i="4" s="1"/>
  <c r="G26" i="4"/>
  <c r="G11" i="6" s="1"/>
  <c r="I60" i="10"/>
  <c r="I61" i="10" s="1"/>
  <c r="I62" i="10" s="1"/>
  <c r="I63" i="10" s="1"/>
  <c r="I64" i="10" s="1"/>
  <c r="I65" i="10" s="1"/>
  <c r="L60" i="10"/>
  <c r="L61" i="10" s="1"/>
  <c r="L62" i="10" s="1"/>
  <c r="L63" i="10" s="1"/>
  <c r="R109" i="5"/>
  <c r="R110" i="5" s="1"/>
  <c r="R114" i="5" s="1"/>
  <c r="T114" i="5" s="1"/>
  <c r="T115" i="5" s="1"/>
  <c r="T116" i="5" s="1"/>
  <c r="T117" i="5" s="1"/>
  <c r="K76" i="1"/>
  <c r="G14" i="4"/>
  <c r="E115" i="15"/>
  <c r="E116" i="15" s="1"/>
  <c r="E117" i="15" s="1"/>
  <c r="F12" i="4"/>
  <c r="G19" i="4"/>
  <c r="G18" i="4"/>
  <c r="C66" i="4"/>
  <c r="D21" i="16"/>
  <c r="E66" i="4"/>
  <c r="I21" i="16"/>
  <c r="D12" i="4"/>
  <c r="G13" i="4"/>
  <c r="I32" i="4"/>
  <c r="O109" i="5"/>
  <c r="H20" i="14"/>
  <c r="F41" i="4"/>
  <c r="D23" i="4"/>
  <c r="D22" i="4" s="1"/>
  <c r="D17" i="4"/>
  <c r="D16" i="4" s="1"/>
  <c r="J23" i="14"/>
  <c r="J24" i="14" s="1"/>
  <c r="F17" i="4"/>
  <c r="F16" i="4" s="1"/>
  <c r="F23" i="4"/>
  <c r="F22" i="4" s="1"/>
  <c r="G43" i="4"/>
  <c r="G42" i="4"/>
  <c r="D41" i="4"/>
  <c r="H24" i="4"/>
  <c r="H25" i="4" s="1"/>
  <c r="E85" i="1"/>
  <c r="E86" i="1" s="1"/>
  <c r="K31" i="14"/>
  <c r="K34" i="14" s="1"/>
  <c r="K35" i="14" s="1"/>
  <c r="K40" i="14" s="1"/>
  <c r="I74" i="10"/>
  <c r="I75" i="10" s="1"/>
  <c r="I76" i="10" s="1"/>
  <c r="I77" i="10" s="1"/>
  <c r="I78" i="10" s="1"/>
  <c r="I79" i="10" s="1"/>
  <c r="I80" i="10" s="1"/>
  <c r="I81" i="10" s="1"/>
  <c r="I82" i="10" s="1"/>
  <c r="G90" i="10"/>
  <c r="G91" i="10" s="1"/>
  <c r="G95" i="10" s="1"/>
  <c r="G112" i="10" s="1"/>
  <c r="G113" i="10" s="1"/>
  <c r="G117" i="10" s="1"/>
  <c r="I24" i="4"/>
  <c r="J56" i="13"/>
  <c r="J65" i="13" s="1"/>
  <c r="C74" i="4"/>
  <c r="C40" i="8"/>
  <c r="C79" i="4"/>
  <c r="D79" i="4"/>
  <c r="K9" i="1"/>
  <c r="J89" i="1"/>
  <c r="K77" i="3" s="1"/>
  <c r="J95" i="1"/>
  <c r="K179" i="3" s="1"/>
  <c r="J87" i="13"/>
  <c r="C65" i="13"/>
  <c r="C88" i="13" s="1"/>
  <c r="J42" i="13"/>
  <c r="C70" i="4"/>
  <c r="Q31" i="14"/>
  <c r="Q32" i="14" s="1"/>
  <c r="O34" i="14"/>
  <c r="O35" i="14" s="1"/>
  <c r="O40" i="14" s="1"/>
  <c r="J31" i="14"/>
  <c r="J32" i="14" s="1"/>
  <c r="H34" i="14"/>
  <c r="H35" i="14" s="1"/>
  <c r="H40" i="14" s="1"/>
  <c r="D33" i="8"/>
  <c r="E71" i="4"/>
  <c r="C71" i="4"/>
  <c r="D74" i="4"/>
  <c r="E70" i="4"/>
  <c r="D33" i="4"/>
  <c r="D32" i="4" s="1"/>
  <c r="E33" i="4"/>
  <c r="E32" i="4" s="1"/>
  <c r="E51" i="4" s="1"/>
  <c r="G10" i="4"/>
  <c r="D54" i="4" s="1"/>
  <c r="L12" i="5"/>
  <c r="L13" i="5" s="1"/>
  <c r="L14" i="5" s="1"/>
  <c r="L15" i="5" s="1"/>
  <c r="L16" i="5" s="1"/>
  <c r="L17" i="5" s="1"/>
  <c r="L18" i="5" s="1"/>
  <c r="L19" i="5" s="1"/>
  <c r="L20" i="5" s="1"/>
  <c r="L21" i="5" s="1"/>
  <c r="L22" i="5" s="1"/>
  <c r="L24" i="5" s="1"/>
  <c r="L25" i="5" s="1"/>
  <c r="L89" i="5" s="1"/>
  <c r="L90" i="5" s="1"/>
  <c r="L91" i="5" s="1"/>
  <c r="L92" i="5" s="1"/>
  <c r="L93" i="5" s="1"/>
  <c r="L94" i="5" s="1"/>
  <c r="L95" i="5" s="1"/>
  <c r="L96" i="5" s="1"/>
  <c r="L97" i="5" s="1"/>
  <c r="L98" i="5" s="1"/>
  <c r="L99" i="5" s="1"/>
  <c r="L100" i="5" s="1"/>
  <c r="L102" i="5" s="1"/>
  <c r="L103" i="5" s="1"/>
  <c r="L104" i="5" s="1"/>
  <c r="L107" i="5" s="1"/>
  <c r="L144" i="3"/>
  <c r="N144" i="3" s="1"/>
  <c r="L145" i="3"/>
  <c r="N145" i="3" s="1"/>
  <c r="L149" i="3"/>
  <c r="N149" i="3" s="1"/>
  <c r="L151" i="3"/>
  <c r="N151" i="3" s="1"/>
  <c r="L153" i="3"/>
  <c r="N153" i="3" s="1"/>
  <c r="L155" i="3"/>
  <c r="N155" i="3" s="1"/>
  <c r="L156" i="3"/>
  <c r="N156" i="3" s="1"/>
  <c r="L157" i="3"/>
  <c r="N157" i="3" s="1"/>
  <c r="L159" i="3"/>
  <c r="N159" i="3" s="1"/>
  <c r="L160" i="3"/>
  <c r="N160" i="3" s="1"/>
  <c r="L161" i="3"/>
  <c r="N161" i="3" s="1"/>
  <c r="L146" i="3"/>
  <c r="N146" i="3" s="1"/>
  <c r="L147" i="3"/>
  <c r="N147" i="3" s="1"/>
  <c r="L148" i="3"/>
  <c r="N148" i="3" s="1"/>
  <c r="L150" i="3"/>
  <c r="N150" i="3" s="1"/>
  <c r="L152" i="3"/>
  <c r="N152" i="3" s="1"/>
  <c r="L154" i="3"/>
  <c r="N154" i="3" s="1"/>
  <c r="L158" i="3"/>
  <c r="N158" i="3" s="1"/>
  <c r="L162" i="3"/>
  <c r="J110" i="5"/>
  <c r="L110" i="3"/>
  <c r="L122" i="3"/>
  <c r="L126" i="3"/>
  <c r="L127" i="3"/>
  <c r="L130" i="3"/>
  <c r="M162" i="3"/>
  <c r="M163" i="3"/>
  <c r="M168" i="3"/>
  <c r="M160" i="5"/>
  <c r="J10" i="1" s="1"/>
  <c r="N392" i="5"/>
  <c r="M37" i="3"/>
  <c r="L39" i="3"/>
  <c r="L43" i="3"/>
  <c r="L47" i="3"/>
  <c r="L48" i="3"/>
  <c r="L51" i="3"/>
  <c r="L52" i="3"/>
  <c r="L54" i="3"/>
  <c r="L64" i="3"/>
  <c r="L66" i="3"/>
  <c r="L67" i="3"/>
  <c r="L68" i="3"/>
  <c r="M99" i="3"/>
  <c r="M102" i="3"/>
  <c r="M103" i="3"/>
  <c r="M104" i="3"/>
  <c r="M105" i="3"/>
  <c r="M107" i="3"/>
  <c r="M117" i="3"/>
  <c r="E110" i="5"/>
  <c r="E114" i="5" s="1"/>
  <c r="E160" i="5" s="1"/>
  <c r="E161" i="5" s="1"/>
  <c r="M9" i="3"/>
  <c r="M13" i="3"/>
  <c r="M17" i="3"/>
  <c r="M21" i="3"/>
  <c r="M26" i="3"/>
  <c r="M32" i="3"/>
  <c r="M34" i="3"/>
  <c r="M36" i="3"/>
  <c r="M60" i="3"/>
  <c r="M63" i="3"/>
  <c r="M64" i="3"/>
  <c r="M66" i="3"/>
  <c r="L91" i="3"/>
  <c r="L92" i="3"/>
  <c r="L93" i="3"/>
  <c r="L95" i="3"/>
  <c r="L96" i="3"/>
  <c r="L97" i="3"/>
  <c r="L100" i="3"/>
  <c r="L105" i="3"/>
  <c r="M8" i="3"/>
  <c r="M12" i="3"/>
  <c r="M16" i="3"/>
  <c r="M20" i="3"/>
  <c r="M29" i="3"/>
  <c r="M35" i="3"/>
  <c r="L9" i="3"/>
  <c r="L10" i="3"/>
  <c r="L13" i="3"/>
  <c r="L14" i="3"/>
  <c r="L17" i="3"/>
  <c r="L18" i="3"/>
  <c r="L22" i="3"/>
  <c r="L24" i="3"/>
  <c r="L27" i="3"/>
  <c r="L33" i="3"/>
  <c r="M108" i="3"/>
  <c r="M126" i="3"/>
  <c r="M128" i="3"/>
  <c r="M129" i="3"/>
  <c r="M130" i="3"/>
  <c r="M133" i="3"/>
  <c r="M134" i="3"/>
  <c r="L165" i="3"/>
  <c r="G392" i="5"/>
  <c r="G85" i="1"/>
  <c r="L57" i="3"/>
  <c r="L58" i="3"/>
  <c r="L70" i="3"/>
  <c r="M94" i="3"/>
  <c r="M98" i="3"/>
  <c r="M119" i="3"/>
  <c r="M120" i="3"/>
  <c r="M123" i="3"/>
  <c r="M135" i="3"/>
  <c r="M136" i="3"/>
  <c r="M138" i="3"/>
  <c r="M139" i="3"/>
  <c r="M140" i="3"/>
  <c r="M143" i="3"/>
  <c r="L56" i="3"/>
  <c r="L61" i="3"/>
  <c r="L62" i="3"/>
  <c r="M93" i="3"/>
  <c r="M96" i="3"/>
  <c r="M97" i="3"/>
  <c r="L116" i="3"/>
  <c r="M118" i="3"/>
  <c r="M125" i="3"/>
  <c r="M38" i="3"/>
  <c r="M39" i="3"/>
  <c r="M41" i="3"/>
  <c r="M42" i="3"/>
  <c r="M43" i="3"/>
  <c r="M45" i="3"/>
  <c r="M46" i="3"/>
  <c r="M47" i="3"/>
  <c r="M50" i="3"/>
  <c r="M54" i="3"/>
  <c r="M57" i="3"/>
  <c r="M69" i="3"/>
  <c r="M70" i="3"/>
  <c r="M71" i="3"/>
  <c r="M109" i="3"/>
  <c r="M110" i="3"/>
  <c r="M112" i="3"/>
  <c r="M113" i="3"/>
  <c r="M114" i="3"/>
  <c r="L120" i="3"/>
  <c r="N120" i="3" s="1"/>
  <c r="L132" i="3"/>
  <c r="M164" i="3"/>
  <c r="M167" i="3"/>
  <c r="F33" i="4"/>
  <c r="F32" i="4" s="1"/>
  <c r="G110" i="5"/>
  <c r="G114" i="5" s="1"/>
  <c r="G37" i="4"/>
  <c r="L46" i="3"/>
  <c r="H85" i="1"/>
  <c r="H86" i="1" s="1"/>
  <c r="M55" i="3"/>
  <c r="M56" i="3"/>
  <c r="M65" i="3"/>
  <c r="M91" i="3"/>
  <c r="M95" i="3"/>
  <c r="L101" i="3"/>
  <c r="L102" i="3"/>
  <c r="M106" i="3"/>
  <c r="M115" i="3"/>
  <c r="M121" i="3"/>
  <c r="M122" i="3"/>
  <c r="M131" i="3"/>
  <c r="L137" i="3"/>
  <c r="L138" i="3"/>
  <c r="M141" i="3"/>
  <c r="M142" i="3"/>
  <c r="G28" i="4"/>
  <c r="G27" i="6" s="1"/>
  <c r="G34" i="4"/>
  <c r="G38" i="4"/>
  <c r="L163" i="3"/>
  <c r="M165" i="3"/>
  <c r="M166" i="3"/>
  <c r="G20" i="4"/>
  <c r="G36" i="4"/>
  <c r="G73" i="3"/>
  <c r="K73" i="3"/>
  <c r="M10" i="3"/>
  <c r="M11" i="3"/>
  <c r="M14" i="3"/>
  <c r="M15" i="3"/>
  <c r="M18" i="3"/>
  <c r="M19" i="3"/>
  <c r="M22" i="3"/>
  <c r="M23" i="3"/>
  <c r="M24" i="3"/>
  <c r="M25" i="3"/>
  <c r="M27" i="3"/>
  <c r="M28" i="3"/>
  <c r="M30" i="3"/>
  <c r="M31" i="3"/>
  <c r="M33" i="3"/>
  <c r="L36" i="3"/>
  <c r="L37" i="3"/>
  <c r="M40" i="3"/>
  <c r="M44" i="3"/>
  <c r="M48" i="3"/>
  <c r="M51" i="3"/>
  <c r="M52" i="3"/>
  <c r="M53" i="3"/>
  <c r="M58" i="3"/>
  <c r="M59" i="3"/>
  <c r="M61" i="3"/>
  <c r="M62" i="3"/>
  <c r="M67" i="3"/>
  <c r="M68" i="3"/>
  <c r="M100" i="3"/>
  <c r="M101" i="3"/>
  <c r="L107" i="3"/>
  <c r="L108" i="3"/>
  <c r="M111" i="3"/>
  <c r="L113" i="3"/>
  <c r="L114" i="3"/>
  <c r="L115" i="3"/>
  <c r="M127" i="3"/>
  <c r="M137" i="3"/>
  <c r="L141" i="3"/>
  <c r="L167" i="3"/>
  <c r="G35" i="4"/>
  <c r="G39" i="4"/>
  <c r="L21" i="3"/>
  <c r="L50" i="3"/>
  <c r="D27" i="4"/>
  <c r="L8" i="3"/>
  <c r="J73" i="3"/>
  <c r="L11" i="3"/>
  <c r="L12" i="3"/>
  <c r="L15" i="3"/>
  <c r="L16" i="3"/>
  <c r="L19" i="3"/>
  <c r="L20" i="3"/>
  <c r="L25" i="3"/>
  <c r="L26" i="3"/>
  <c r="L28" i="3"/>
  <c r="L29" i="3"/>
  <c r="L30" i="3"/>
  <c r="L31" i="3"/>
  <c r="L32" i="3"/>
  <c r="L34" i="3"/>
  <c r="L38" i="3"/>
  <c r="L40" i="3"/>
  <c r="L41" i="3"/>
  <c r="L42" i="3"/>
  <c r="L44" i="3"/>
  <c r="L45" i="3"/>
  <c r="L49" i="3"/>
  <c r="L53" i="3"/>
  <c r="L55" i="3"/>
  <c r="L65" i="3"/>
  <c r="L71" i="3"/>
  <c r="L94" i="3"/>
  <c r="J169" i="3"/>
  <c r="L98" i="3"/>
  <c r="L109" i="3"/>
  <c r="L111" i="3"/>
  <c r="L112" i="3"/>
  <c r="L117" i="3"/>
  <c r="L121" i="3"/>
  <c r="L123" i="3"/>
  <c r="L124" i="3"/>
  <c r="L125" i="3"/>
  <c r="L131" i="3"/>
  <c r="L133" i="3"/>
  <c r="L134" i="3"/>
  <c r="L136" i="3"/>
  <c r="L142" i="3"/>
  <c r="L143" i="3"/>
  <c r="L166" i="3"/>
  <c r="L168" i="3"/>
  <c r="L35" i="3"/>
  <c r="L59" i="3"/>
  <c r="L60" i="3"/>
  <c r="L63" i="3"/>
  <c r="L69" i="3"/>
  <c r="L99" i="3"/>
  <c r="L103" i="3"/>
  <c r="L104" i="3"/>
  <c r="L106" i="3"/>
  <c r="L118" i="3"/>
  <c r="L119" i="3"/>
  <c r="L128" i="3"/>
  <c r="L129" i="3"/>
  <c r="L135" i="3"/>
  <c r="L139" i="3"/>
  <c r="L140" i="3"/>
  <c r="L164" i="3"/>
  <c r="N109" i="5"/>
  <c r="F85" i="1"/>
  <c r="H73" i="3"/>
  <c r="L7" i="3"/>
  <c r="G169" i="3"/>
  <c r="K169" i="3"/>
  <c r="I73" i="3"/>
  <c r="M7" i="3"/>
  <c r="M90" i="3"/>
  <c r="M116" i="3"/>
  <c r="M124" i="3"/>
  <c r="F73" i="3"/>
  <c r="L23" i="3"/>
  <c r="M49" i="3"/>
  <c r="I169" i="3"/>
  <c r="M92" i="3"/>
  <c r="H169" i="3"/>
  <c r="L90" i="3"/>
  <c r="M132" i="3"/>
  <c r="R392" i="5"/>
  <c r="E392" i="5"/>
  <c r="J392" i="5"/>
  <c r="G22" i="4" l="1"/>
  <c r="G45" i="6"/>
  <c r="G44" i="6" s="1"/>
  <c r="I66" i="10"/>
  <c r="I67" i="10" s="1"/>
  <c r="G12" i="4"/>
  <c r="P23" i="5"/>
  <c r="P24" i="5" s="1"/>
  <c r="P25" i="5" s="1"/>
  <c r="P26" i="5" s="1"/>
  <c r="H170" i="3"/>
  <c r="I170" i="3"/>
  <c r="I171" i="3" s="1"/>
  <c r="N13" i="3"/>
  <c r="G17" i="4"/>
  <c r="G16" i="4" s="1"/>
  <c r="N110" i="5"/>
  <c r="N114" i="5" s="1"/>
  <c r="N160" i="5" s="1"/>
  <c r="N161" i="5" s="1"/>
  <c r="I83" i="10"/>
  <c r="F86" i="1"/>
  <c r="N95" i="3"/>
  <c r="D30" i="4"/>
  <c r="G41" i="4"/>
  <c r="H43" i="4"/>
  <c r="M31" i="14"/>
  <c r="M32" i="14" s="1"/>
  <c r="I25" i="4"/>
  <c r="I27" i="4"/>
  <c r="G31" i="4"/>
  <c r="H26" i="4"/>
  <c r="H27" i="4" s="1"/>
  <c r="D51" i="4"/>
  <c r="N23" i="3"/>
  <c r="D97" i="13"/>
  <c r="D99" i="13" s="1"/>
  <c r="K82" i="3"/>
  <c r="I56" i="1"/>
  <c r="K56" i="1" s="1"/>
  <c r="I24" i="1"/>
  <c r="K24" i="1" s="1"/>
  <c r="J67" i="1"/>
  <c r="L67" i="1" s="1"/>
  <c r="K80" i="1"/>
  <c r="I48" i="1"/>
  <c r="K48" i="1" s="1"/>
  <c r="I16" i="1"/>
  <c r="K16" i="1" s="1"/>
  <c r="I72" i="1"/>
  <c r="K72" i="1" s="1"/>
  <c r="I40" i="1"/>
  <c r="K40" i="1" s="1"/>
  <c r="L83" i="1"/>
  <c r="I64" i="1"/>
  <c r="K64" i="1" s="1"/>
  <c r="I32" i="1"/>
  <c r="K32" i="1" s="1"/>
  <c r="J75" i="1"/>
  <c r="L75" i="1" s="1"/>
  <c r="F51" i="4"/>
  <c r="J59" i="1"/>
  <c r="L59" i="1" s="1"/>
  <c r="J51" i="1"/>
  <c r="L51" i="1" s="1"/>
  <c r="J43" i="1"/>
  <c r="L43" i="1" s="1"/>
  <c r="J35" i="1"/>
  <c r="L35" i="1" s="1"/>
  <c r="J27" i="1"/>
  <c r="L27" i="1" s="1"/>
  <c r="J19" i="1"/>
  <c r="L19" i="1" s="1"/>
  <c r="J11" i="1"/>
  <c r="L11" i="1" s="1"/>
  <c r="K79" i="1"/>
  <c r="I71" i="1"/>
  <c r="K71" i="1" s="1"/>
  <c r="I63" i="1"/>
  <c r="K63" i="1" s="1"/>
  <c r="I55" i="1"/>
  <c r="K55" i="1" s="1"/>
  <c r="I47" i="1"/>
  <c r="K47" i="1" s="1"/>
  <c r="I39" i="1"/>
  <c r="K39" i="1" s="1"/>
  <c r="I31" i="1"/>
  <c r="K31" i="1" s="1"/>
  <c r="I23" i="1"/>
  <c r="K23" i="1" s="1"/>
  <c r="I15" i="1"/>
  <c r="K15" i="1" s="1"/>
  <c r="L82" i="1"/>
  <c r="J74" i="1"/>
  <c r="L74" i="1" s="1"/>
  <c r="J66" i="1"/>
  <c r="L66" i="1" s="1"/>
  <c r="J58" i="1"/>
  <c r="L58" i="1" s="1"/>
  <c r="J50" i="1"/>
  <c r="L50" i="1" s="1"/>
  <c r="J42" i="1"/>
  <c r="L42" i="1" s="1"/>
  <c r="J34" i="1"/>
  <c r="L34" i="1" s="1"/>
  <c r="J26" i="1"/>
  <c r="L26" i="1" s="1"/>
  <c r="J18" i="1"/>
  <c r="L18" i="1" s="1"/>
  <c r="K174" i="3"/>
  <c r="G29" i="6"/>
  <c r="K78" i="1"/>
  <c r="I70" i="1"/>
  <c r="K70" i="1" s="1"/>
  <c r="I62" i="1"/>
  <c r="K62" i="1" s="1"/>
  <c r="I54" i="1"/>
  <c r="K54" i="1" s="1"/>
  <c r="I46" i="1"/>
  <c r="K46" i="1" s="1"/>
  <c r="I38" i="1"/>
  <c r="K38" i="1" s="1"/>
  <c r="I30" i="1"/>
  <c r="K30" i="1" s="1"/>
  <c r="I22" i="1"/>
  <c r="K22" i="1" s="1"/>
  <c r="I14" i="1"/>
  <c r="K14" i="1" s="1"/>
  <c r="L81" i="1"/>
  <c r="J73" i="1"/>
  <c r="L73" i="1" s="1"/>
  <c r="J65" i="1"/>
  <c r="L65" i="1" s="1"/>
  <c r="J57" i="1"/>
  <c r="L57" i="1" s="1"/>
  <c r="J49" i="1"/>
  <c r="L49" i="1" s="1"/>
  <c r="J41" i="1"/>
  <c r="L41" i="1" s="1"/>
  <c r="J33" i="1"/>
  <c r="L33" i="1" s="1"/>
  <c r="J25" i="1"/>
  <c r="L25" i="1" s="1"/>
  <c r="J17" i="1"/>
  <c r="L17" i="1" s="1"/>
  <c r="J9" i="1"/>
  <c r="L9" i="1" s="1"/>
  <c r="M9" i="1" s="1"/>
  <c r="F20" i="8" s="1"/>
  <c r="K77" i="1"/>
  <c r="I69" i="1"/>
  <c r="K69" i="1" s="1"/>
  <c r="I61" i="1"/>
  <c r="K61" i="1" s="1"/>
  <c r="I53" i="1"/>
  <c r="K53" i="1" s="1"/>
  <c r="I45" i="1"/>
  <c r="K45" i="1" s="1"/>
  <c r="I37" i="1"/>
  <c r="K37" i="1" s="1"/>
  <c r="I29" i="1"/>
  <c r="K29" i="1" s="1"/>
  <c r="I21" i="1"/>
  <c r="K21" i="1" s="1"/>
  <c r="I13" i="1"/>
  <c r="K13" i="1" s="1"/>
  <c r="L80" i="1"/>
  <c r="J72" i="1"/>
  <c r="L72" i="1" s="1"/>
  <c r="J64" i="1"/>
  <c r="L64" i="1" s="1"/>
  <c r="J56" i="1"/>
  <c r="L56" i="1" s="1"/>
  <c r="J48" i="1"/>
  <c r="L48" i="1" s="1"/>
  <c r="J40" i="1"/>
  <c r="L40" i="1" s="1"/>
  <c r="J32" i="1"/>
  <c r="L32" i="1" s="1"/>
  <c r="J24" i="1"/>
  <c r="L24" i="1" s="1"/>
  <c r="J16" i="1"/>
  <c r="L16" i="1" s="1"/>
  <c r="K84" i="1"/>
  <c r="I68" i="1"/>
  <c r="K68" i="1" s="1"/>
  <c r="I60" i="1"/>
  <c r="K60" i="1" s="1"/>
  <c r="I52" i="1"/>
  <c r="K52" i="1" s="1"/>
  <c r="I44" i="1"/>
  <c r="K44" i="1" s="1"/>
  <c r="I36" i="1"/>
  <c r="K36" i="1" s="1"/>
  <c r="I28" i="1"/>
  <c r="K28" i="1" s="1"/>
  <c r="I20" i="1"/>
  <c r="K20" i="1" s="1"/>
  <c r="I12" i="1"/>
  <c r="K12" i="1" s="1"/>
  <c r="L79" i="1"/>
  <c r="J71" i="1"/>
  <c r="L71" i="1" s="1"/>
  <c r="J63" i="1"/>
  <c r="L63" i="1" s="1"/>
  <c r="J55" i="1"/>
  <c r="L55" i="1" s="1"/>
  <c r="J47" i="1"/>
  <c r="L47" i="1" s="1"/>
  <c r="J39" i="1"/>
  <c r="L39" i="1" s="1"/>
  <c r="J31" i="1"/>
  <c r="L31" i="1" s="1"/>
  <c r="J23" i="1"/>
  <c r="L23" i="1" s="1"/>
  <c r="J15" i="1"/>
  <c r="L15" i="1" s="1"/>
  <c r="K83" i="1"/>
  <c r="I75" i="1"/>
  <c r="K75" i="1" s="1"/>
  <c r="I67" i="1"/>
  <c r="K67" i="1" s="1"/>
  <c r="I59" i="1"/>
  <c r="K59" i="1" s="1"/>
  <c r="I51" i="1"/>
  <c r="K51" i="1" s="1"/>
  <c r="I43" i="1"/>
  <c r="K43" i="1" s="1"/>
  <c r="I35" i="1"/>
  <c r="K35" i="1" s="1"/>
  <c r="I27" i="1"/>
  <c r="K27" i="1" s="1"/>
  <c r="I19" i="1"/>
  <c r="K19" i="1" s="1"/>
  <c r="I11" i="1"/>
  <c r="K11" i="1" s="1"/>
  <c r="L78" i="1"/>
  <c r="J70" i="1"/>
  <c r="L70" i="1" s="1"/>
  <c r="J62" i="1"/>
  <c r="L62" i="1" s="1"/>
  <c r="J54" i="1"/>
  <c r="L54" i="1" s="1"/>
  <c r="J46" i="1"/>
  <c r="L46" i="1" s="1"/>
  <c r="J38" i="1"/>
  <c r="L38" i="1" s="1"/>
  <c r="J30" i="1"/>
  <c r="L30" i="1" s="1"/>
  <c r="J22" i="1"/>
  <c r="L22" i="1" s="1"/>
  <c r="J14" i="1"/>
  <c r="L14" i="1" s="1"/>
  <c r="K82" i="1"/>
  <c r="I74" i="1"/>
  <c r="K74" i="1" s="1"/>
  <c r="I66" i="1"/>
  <c r="K66" i="1" s="1"/>
  <c r="I58" i="1"/>
  <c r="K58" i="1" s="1"/>
  <c r="I50" i="1"/>
  <c r="K50" i="1" s="1"/>
  <c r="I42" i="1"/>
  <c r="K42" i="1" s="1"/>
  <c r="I34" i="1"/>
  <c r="K34" i="1" s="1"/>
  <c r="I26" i="1"/>
  <c r="K26" i="1" s="1"/>
  <c r="I18" i="1"/>
  <c r="K18" i="1" s="1"/>
  <c r="I10" i="1"/>
  <c r="K10" i="1" s="1"/>
  <c r="L77" i="1"/>
  <c r="J69" i="1"/>
  <c r="L69" i="1" s="1"/>
  <c r="J61" i="1"/>
  <c r="L61" i="1" s="1"/>
  <c r="J53" i="1"/>
  <c r="L53" i="1" s="1"/>
  <c r="J45" i="1"/>
  <c r="L45" i="1" s="1"/>
  <c r="J37" i="1"/>
  <c r="L37" i="1" s="1"/>
  <c r="J29" i="1"/>
  <c r="L29" i="1" s="1"/>
  <c r="J21" i="1"/>
  <c r="L21" i="1" s="1"/>
  <c r="J13" i="1"/>
  <c r="L13" i="1" s="1"/>
  <c r="K81" i="1"/>
  <c r="I73" i="1"/>
  <c r="K73" i="1" s="1"/>
  <c r="I65" i="1"/>
  <c r="K65" i="1" s="1"/>
  <c r="I57" i="1"/>
  <c r="K57" i="1" s="1"/>
  <c r="I49" i="1"/>
  <c r="K49" i="1" s="1"/>
  <c r="I41" i="1"/>
  <c r="K41" i="1" s="1"/>
  <c r="I33" i="1"/>
  <c r="K33" i="1" s="1"/>
  <c r="I25" i="1"/>
  <c r="K25" i="1" s="1"/>
  <c r="I17" i="1"/>
  <c r="K17" i="1" s="1"/>
  <c r="L84" i="1"/>
  <c r="L76" i="1"/>
  <c r="J68" i="1"/>
  <c r="L68" i="1" s="1"/>
  <c r="J60" i="1"/>
  <c r="L60" i="1" s="1"/>
  <c r="J52" i="1"/>
  <c r="L52" i="1" s="1"/>
  <c r="J44" i="1"/>
  <c r="L44" i="1" s="1"/>
  <c r="J36" i="1"/>
  <c r="L36" i="1" s="1"/>
  <c r="J28" i="1"/>
  <c r="L28" i="1" s="1"/>
  <c r="J20" i="1"/>
  <c r="L20" i="1" s="1"/>
  <c r="J12" i="1"/>
  <c r="L12" i="1" s="1"/>
  <c r="D104" i="13"/>
  <c r="G38" i="6" s="1"/>
  <c r="G10" i="6"/>
  <c r="G9" i="6" s="1"/>
  <c r="G24" i="6" s="1"/>
  <c r="J88" i="13"/>
  <c r="I95" i="10"/>
  <c r="I96" i="10" s="1"/>
  <c r="I97" i="10" s="1"/>
  <c r="I98" i="10" s="1"/>
  <c r="I99" i="10" s="1"/>
  <c r="I100" i="10" s="1"/>
  <c r="I101" i="10" s="1"/>
  <c r="I102" i="10" s="1"/>
  <c r="I103" i="10" s="1"/>
  <c r="I104" i="10" s="1"/>
  <c r="I105" i="10" s="1"/>
  <c r="I106" i="10" s="1"/>
  <c r="G137" i="10"/>
  <c r="G138" i="10" s="1"/>
  <c r="G142" i="10" s="1"/>
  <c r="I117" i="10"/>
  <c r="I118" i="10" s="1"/>
  <c r="I119" i="10" s="1"/>
  <c r="I120" i="10" s="1"/>
  <c r="I121" i="10" s="1"/>
  <c r="I122" i="10" s="1"/>
  <c r="I123" i="10" s="1"/>
  <c r="I124" i="10" s="1"/>
  <c r="Q40" i="14"/>
  <c r="Q41" i="14" s="1"/>
  <c r="Q42" i="14" s="1"/>
  <c r="O44" i="14"/>
  <c r="O45" i="14" s="1"/>
  <c r="O50" i="14" s="1"/>
  <c r="M40" i="14"/>
  <c r="M41" i="14" s="1"/>
  <c r="M42" i="14" s="1"/>
  <c r="K44" i="14"/>
  <c r="K45" i="14" s="1"/>
  <c r="K50" i="14" s="1"/>
  <c r="J40" i="14"/>
  <c r="J41" i="14" s="1"/>
  <c r="J42" i="14" s="1"/>
  <c r="H44" i="14"/>
  <c r="H45" i="14" s="1"/>
  <c r="G33" i="4"/>
  <c r="G32" i="4" s="1"/>
  <c r="G36" i="6" s="1"/>
  <c r="E30" i="4"/>
  <c r="T118" i="5"/>
  <c r="J114" i="5"/>
  <c r="L114" i="5" s="1"/>
  <c r="L117" i="5" s="1"/>
  <c r="N99" i="3"/>
  <c r="N47" i="3"/>
  <c r="N92" i="3"/>
  <c r="N110" i="3"/>
  <c r="N64" i="3"/>
  <c r="N127" i="3"/>
  <c r="N66" i="3"/>
  <c r="N33" i="3"/>
  <c r="N129" i="3"/>
  <c r="N69" i="3"/>
  <c r="N42" i="3"/>
  <c r="N124" i="3"/>
  <c r="R160" i="5"/>
  <c r="R161" i="5" s="1"/>
  <c r="N98" i="3"/>
  <c r="N45" i="3"/>
  <c r="N48" i="3"/>
  <c r="N97" i="3"/>
  <c r="N130" i="3"/>
  <c r="N135" i="3"/>
  <c r="N122" i="3"/>
  <c r="N102" i="3"/>
  <c r="N35" i="3"/>
  <c r="N133" i="3"/>
  <c r="N53" i="3"/>
  <c r="N34" i="3"/>
  <c r="N12" i="3"/>
  <c r="N100" i="3"/>
  <c r="N25" i="3"/>
  <c r="N51" i="3"/>
  <c r="N37" i="3"/>
  <c r="N18" i="3"/>
  <c r="N10" i="3"/>
  <c r="N165" i="3"/>
  <c r="N57" i="3"/>
  <c r="N17" i="3"/>
  <c r="N105" i="3"/>
  <c r="N43" i="3"/>
  <c r="N106" i="3"/>
  <c r="N20" i="3"/>
  <c r="N167" i="3"/>
  <c r="N52" i="3"/>
  <c r="N31" i="3"/>
  <c r="N128" i="3"/>
  <c r="N142" i="3"/>
  <c r="N131" i="3"/>
  <c r="N41" i="3"/>
  <c r="N28" i="3"/>
  <c r="N9" i="3"/>
  <c r="N134" i="3"/>
  <c r="N27" i="3"/>
  <c r="N126" i="3"/>
  <c r="N24" i="3"/>
  <c r="N93" i="3"/>
  <c r="N162" i="3"/>
  <c r="N15" i="3"/>
  <c r="N14" i="3"/>
  <c r="N39" i="3"/>
  <c r="N96" i="3"/>
  <c r="N103" i="3"/>
  <c r="N60" i="3"/>
  <c r="N117" i="3"/>
  <c r="N65" i="3"/>
  <c r="N26" i="3"/>
  <c r="N16" i="3"/>
  <c r="N21" i="3"/>
  <c r="N107" i="3"/>
  <c r="N67" i="3"/>
  <c r="N36" i="3"/>
  <c r="N56" i="3"/>
  <c r="N114" i="3"/>
  <c r="N72" i="3"/>
  <c r="N168" i="3"/>
  <c r="N137" i="3"/>
  <c r="N104" i="3"/>
  <c r="N163" i="3"/>
  <c r="N112" i="3"/>
  <c r="N44" i="3"/>
  <c r="N38" i="3"/>
  <c r="N138" i="3"/>
  <c r="N54" i="3"/>
  <c r="N62" i="3"/>
  <c r="N32" i="3"/>
  <c r="N61" i="3"/>
  <c r="N132" i="3"/>
  <c r="N125" i="3"/>
  <c r="N50" i="3"/>
  <c r="N68" i="3"/>
  <c r="L10" i="1"/>
  <c r="N108" i="3"/>
  <c r="N91" i="3"/>
  <c r="N63" i="3"/>
  <c r="N8" i="3"/>
  <c r="N141" i="3"/>
  <c r="N139" i="3"/>
  <c r="N119" i="3"/>
  <c r="N123" i="3"/>
  <c r="N94" i="3"/>
  <c r="N29" i="3"/>
  <c r="N22" i="3"/>
  <c r="N136" i="3"/>
  <c r="N115" i="3"/>
  <c r="N55" i="3"/>
  <c r="F30" i="4"/>
  <c r="N118" i="3"/>
  <c r="N59" i="3"/>
  <c r="N111" i="3"/>
  <c r="N58" i="3"/>
  <c r="N46" i="3"/>
  <c r="N116" i="3"/>
  <c r="N164" i="3"/>
  <c r="N143" i="3"/>
  <c r="N30" i="3"/>
  <c r="N121" i="3"/>
  <c r="N109" i="3"/>
  <c r="N71" i="3"/>
  <c r="N113" i="3"/>
  <c r="N70" i="3"/>
  <c r="G27" i="4"/>
  <c r="N40" i="3"/>
  <c r="N101" i="3"/>
  <c r="N166" i="3"/>
  <c r="N19" i="3"/>
  <c r="N11" i="3"/>
  <c r="N49" i="3"/>
  <c r="M169" i="3"/>
  <c r="N90" i="3"/>
  <c r="L169" i="3"/>
  <c r="M73" i="3"/>
  <c r="K178" i="3"/>
  <c r="K81" i="3"/>
  <c r="L73" i="3"/>
  <c r="N7" i="3"/>
  <c r="G42" i="6" l="1"/>
  <c r="G47" i="6" s="1"/>
  <c r="G31" i="6"/>
  <c r="P27" i="5"/>
  <c r="P28" i="5" s="1"/>
  <c r="P29" i="5" s="1"/>
  <c r="P30" i="5" s="1"/>
  <c r="P31" i="5" s="1"/>
  <c r="P32" i="5" s="1"/>
  <c r="P33" i="5" s="1"/>
  <c r="P34" i="5" s="1"/>
  <c r="P35" i="5" s="1"/>
  <c r="P36" i="5" s="1"/>
  <c r="P37" i="5" s="1"/>
  <c r="P38" i="5" s="1"/>
  <c r="P39" i="5" s="1"/>
  <c r="P40" i="5" s="1"/>
  <c r="P41" i="5" s="1"/>
  <c r="P42" i="5" s="1"/>
  <c r="P43" i="5" s="1"/>
  <c r="P44" i="5" s="1"/>
  <c r="P45" i="5" s="1"/>
  <c r="P46" i="5" s="1"/>
  <c r="I84" i="10"/>
  <c r="I85" i="10" s="1"/>
  <c r="I86" i="10" s="1"/>
  <c r="I87" i="10" s="1"/>
  <c r="I88" i="10" s="1"/>
  <c r="H30" i="4"/>
  <c r="P114" i="5"/>
  <c r="P115" i="5" s="1"/>
  <c r="P116" i="5" s="1"/>
  <c r="P117" i="5" s="1"/>
  <c r="P118" i="5" s="1"/>
  <c r="P119" i="5" s="1"/>
  <c r="P120" i="5" s="1"/>
  <c r="P121" i="5" s="1"/>
  <c r="P122" i="5" s="1"/>
  <c r="P123" i="5" s="1"/>
  <c r="P124" i="5" s="1"/>
  <c r="P125" i="5" s="1"/>
  <c r="P126" i="5" s="1"/>
  <c r="P127" i="5" s="1"/>
  <c r="P128" i="5" s="1"/>
  <c r="P129" i="5" s="1"/>
  <c r="P130" i="5" s="1"/>
  <c r="P131" i="5" s="1"/>
  <c r="P132" i="5" s="1"/>
  <c r="P133" i="5" s="1"/>
  <c r="P134" i="5" s="1"/>
  <c r="P135" i="5" s="1"/>
  <c r="P136" i="5" s="1"/>
  <c r="P137" i="5" s="1"/>
  <c r="P138" i="5" s="1"/>
  <c r="P139" i="5" s="1"/>
  <c r="P140" i="5" s="1"/>
  <c r="P141" i="5" s="1"/>
  <c r="P142" i="5" s="1"/>
  <c r="P143" i="5" s="1"/>
  <c r="P144" i="5" s="1"/>
  <c r="P145" i="5" s="1"/>
  <c r="P146" i="5" s="1"/>
  <c r="P147" i="5" s="1"/>
  <c r="P148" i="5" s="1"/>
  <c r="P149" i="5" s="1"/>
  <c r="P150" i="5" s="1"/>
  <c r="P151" i="5" s="1"/>
  <c r="P152" i="5" s="1"/>
  <c r="P153" i="5" s="1"/>
  <c r="P154" i="5" s="1"/>
  <c r="P155" i="5" s="1"/>
  <c r="P156" i="5" s="1"/>
  <c r="I107" i="10"/>
  <c r="I108" i="10" s="1"/>
  <c r="I109" i="10" s="1"/>
  <c r="I110" i="10" s="1"/>
  <c r="D107" i="13"/>
  <c r="T119" i="5"/>
  <c r="T120" i="5" s="1"/>
  <c r="T121" i="5" s="1"/>
  <c r="T122" i="5" s="1"/>
  <c r="T123" i="5" s="1"/>
  <c r="T124" i="5" s="1"/>
  <c r="T125" i="5" s="1"/>
  <c r="T126" i="5" s="1"/>
  <c r="T127" i="5" s="1"/>
  <c r="T128" i="5" s="1"/>
  <c r="G30" i="4"/>
  <c r="D56" i="4" s="1"/>
  <c r="G51" i="4"/>
  <c r="D57" i="4" s="1"/>
  <c r="H50" i="14"/>
  <c r="H54" i="14" s="1"/>
  <c r="H55" i="14" s="1"/>
  <c r="H60" i="14" s="1"/>
  <c r="M38" i="1"/>
  <c r="M40" i="1"/>
  <c r="M29" i="1"/>
  <c r="I114" i="5"/>
  <c r="I115" i="5" s="1"/>
  <c r="I116" i="5" s="1"/>
  <c r="I117" i="5" s="1"/>
  <c r="I118" i="5" s="1"/>
  <c r="I119" i="5" s="1"/>
  <c r="I120" i="5" s="1"/>
  <c r="I121" i="5" s="1"/>
  <c r="I122" i="5" s="1"/>
  <c r="I123" i="5" s="1"/>
  <c r="I124" i="5" s="1"/>
  <c r="I125" i="5" s="1"/>
  <c r="I126" i="5" s="1"/>
  <c r="I127" i="5" s="1"/>
  <c r="I128" i="5" s="1"/>
  <c r="I129" i="5" s="1"/>
  <c r="I130" i="5" s="1"/>
  <c r="I131" i="5" s="1"/>
  <c r="I132" i="5" s="1"/>
  <c r="I133" i="5" s="1"/>
  <c r="I134" i="5" s="1"/>
  <c r="I135" i="5" s="1"/>
  <c r="I136" i="5" s="1"/>
  <c r="I137" i="5" s="1"/>
  <c r="I138" i="5" s="1"/>
  <c r="I139" i="5" s="1"/>
  <c r="I140" i="5" s="1"/>
  <c r="I141" i="5" s="1"/>
  <c r="I142" i="5" s="1"/>
  <c r="I143" i="5" s="1"/>
  <c r="I144" i="5" s="1"/>
  <c r="I145" i="5" s="1"/>
  <c r="I146" i="5" s="1"/>
  <c r="I147" i="5" s="1"/>
  <c r="I148" i="5" s="1"/>
  <c r="I149" i="5" s="1"/>
  <c r="I150" i="5" s="1"/>
  <c r="I151" i="5" s="1"/>
  <c r="I152" i="5" s="1"/>
  <c r="I153" i="5" s="1"/>
  <c r="I154" i="5" s="1"/>
  <c r="I155" i="5" s="1"/>
  <c r="I156" i="5" s="1"/>
  <c r="I157" i="5" s="1"/>
  <c r="I158" i="5" s="1"/>
  <c r="G160" i="5"/>
  <c r="G161" i="5" s="1"/>
  <c r="D61" i="4" s="1"/>
  <c r="Q24" i="14"/>
  <c r="I85" i="1"/>
  <c r="J85" i="1"/>
  <c r="M79" i="1"/>
  <c r="J160" i="5"/>
  <c r="J161" i="5" s="1"/>
  <c r="D62" i="4" s="1"/>
  <c r="I125" i="10"/>
  <c r="I126" i="10" s="1"/>
  <c r="I127" i="10" s="1"/>
  <c r="I128" i="10" s="1"/>
  <c r="I142" i="10"/>
  <c r="I143" i="10" s="1"/>
  <c r="I144" i="10" s="1"/>
  <c r="I145" i="10" s="1"/>
  <c r="G160" i="10"/>
  <c r="G161" i="10" s="1"/>
  <c r="G165" i="10" s="1"/>
  <c r="G183" i="10" s="1"/>
  <c r="G184" i="10" s="1"/>
  <c r="Q50" i="14"/>
  <c r="Q51" i="14" s="1"/>
  <c r="Q52" i="14" s="1"/>
  <c r="O54" i="14"/>
  <c r="O55" i="14" s="1"/>
  <c r="O60" i="14" s="1"/>
  <c r="M50" i="14"/>
  <c r="M51" i="14" s="1"/>
  <c r="M52" i="14" s="1"/>
  <c r="K54" i="14"/>
  <c r="K55" i="14" s="1"/>
  <c r="K60" i="14" s="1"/>
  <c r="M31" i="1"/>
  <c r="L118" i="5"/>
  <c r="M20" i="1"/>
  <c r="M69" i="1"/>
  <c r="M39" i="1"/>
  <c r="M78" i="1"/>
  <c r="M75" i="1"/>
  <c r="M82" i="1"/>
  <c r="M58" i="1"/>
  <c r="M25" i="1"/>
  <c r="M12" i="1"/>
  <c r="M51" i="1"/>
  <c r="M41" i="1"/>
  <c r="M28" i="1"/>
  <c r="M37" i="1"/>
  <c r="M81" i="1"/>
  <c r="M48" i="1"/>
  <c r="M46" i="1"/>
  <c r="M67" i="1"/>
  <c r="M19" i="1"/>
  <c r="M23" i="1"/>
  <c r="M57" i="1"/>
  <c r="M55" i="1"/>
  <c r="M60" i="1"/>
  <c r="M73" i="1"/>
  <c r="M43" i="1"/>
  <c r="M32" i="1"/>
  <c r="M74" i="1"/>
  <c r="M26" i="1"/>
  <c r="M65" i="1"/>
  <c r="M80" i="1"/>
  <c r="M30" i="1"/>
  <c r="M36" i="1"/>
  <c r="M15" i="1"/>
  <c r="M54" i="1"/>
  <c r="M33" i="1"/>
  <c r="M47" i="1"/>
  <c r="M76" i="1"/>
  <c r="M45" i="1"/>
  <c r="M17" i="1"/>
  <c r="M50" i="1"/>
  <c r="M68" i="1"/>
  <c r="M35" i="1"/>
  <c r="M64" i="1"/>
  <c r="M42" i="1"/>
  <c r="M11" i="1"/>
  <c r="M18" i="1"/>
  <c r="M70" i="1"/>
  <c r="M49" i="1"/>
  <c r="M63" i="1"/>
  <c r="M16" i="1"/>
  <c r="M21" i="1"/>
  <c r="M44" i="1"/>
  <c r="M27" i="1"/>
  <c r="M59" i="1"/>
  <c r="M53" i="1"/>
  <c r="M84" i="1"/>
  <c r="M62" i="1"/>
  <c r="M66" i="1"/>
  <c r="M72" i="1"/>
  <c r="M71" i="1"/>
  <c r="M61" i="1"/>
  <c r="M83" i="1"/>
  <c r="M77" i="1"/>
  <c r="E52" i="4"/>
  <c r="M13" i="1"/>
  <c r="M34" i="1"/>
  <c r="M52" i="1"/>
  <c r="M10" i="1"/>
  <c r="F52" i="4"/>
  <c r="M14" i="1"/>
  <c r="L85" i="1"/>
  <c r="K85" i="1"/>
  <c r="D52" i="4"/>
  <c r="M56" i="1"/>
  <c r="M22" i="1"/>
  <c r="M24" i="1"/>
  <c r="N73" i="3"/>
  <c r="N169" i="3"/>
  <c r="D63" i="4" l="1"/>
  <c r="F13" i="8" s="1"/>
  <c r="N172" i="3"/>
  <c r="G49" i="6"/>
  <c r="P47" i="5"/>
  <c r="P48" i="5" s="1"/>
  <c r="P49" i="5" s="1"/>
  <c r="P50" i="5" s="1"/>
  <c r="P51" i="5" s="1"/>
  <c r="P52" i="5" s="1"/>
  <c r="P53" i="5" s="1"/>
  <c r="P54" i="5" s="1"/>
  <c r="P55" i="5" s="1"/>
  <c r="P56" i="5" s="1"/>
  <c r="P57" i="5" s="1"/>
  <c r="P58" i="5" s="1"/>
  <c r="P59" i="5" s="1"/>
  <c r="P60" i="5" s="1"/>
  <c r="P61" i="5" s="1"/>
  <c r="T129" i="5"/>
  <c r="T130" i="5" s="1"/>
  <c r="T131" i="5" s="1"/>
  <c r="T132" i="5" s="1"/>
  <c r="T133" i="5" s="1"/>
  <c r="T134" i="5" s="1"/>
  <c r="T135" i="5" s="1"/>
  <c r="T136" i="5" s="1"/>
  <c r="T137" i="5" s="1"/>
  <c r="T138" i="5" s="1"/>
  <c r="T139" i="5" s="1"/>
  <c r="T140" i="5" s="1"/>
  <c r="T141" i="5" s="1"/>
  <c r="T142" i="5" s="1"/>
  <c r="T143" i="5" s="1"/>
  <c r="T144" i="5" s="1"/>
  <c r="T145" i="5" s="1"/>
  <c r="T146" i="5" s="1"/>
  <c r="T147" i="5" s="1"/>
  <c r="T148" i="5" s="1"/>
  <c r="T149" i="5" s="1"/>
  <c r="T150" i="5" s="1"/>
  <c r="T151" i="5" s="1"/>
  <c r="T152" i="5" s="1"/>
  <c r="T153" i="5" s="1"/>
  <c r="T154" i="5" s="1"/>
  <c r="T155" i="5" s="1"/>
  <c r="T156" i="5" s="1"/>
  <c r="T157" i="5" s="1"/>
  <c r="D58" i="4"/>
  <c r="I129" i="10"/>
  <c r="L14" i="8"/>
  <c r="M14" i="8" s="1"/>
  <c r="L13" i="8"/>
  <c r="J50" i="14"/>
  <c r="J51" i="14" s="1"/>
  <c r="J52" i="14" s="1"/>
  <c r="M86" i="1"/>
  <c r="M85" i="1"/>
  <c r="F19" i="8" s="1"/>
  <c r="F18" i="8" s="1"/>
  <c r="F17" i="8" s="1"/>
  <c r="D109" i="13"/>
  <c r="E280" i="10" s="1"/>
  <c r="I146" i="10"/>
  <c r="I147" i="10" s="1"/>
  <c r="I148" i="10" s="1"/>
  <c r="I149" i="10" s="1"/>
  <c r="I150" i="10" s="1"/>
  <c r="I151" i="10" s="1"/>
  <c r="I152" i="10" s="1"/>
  <c r="G188" i="10"/>
  <c r="I165" i="10"/>
  <c r="I166" i="10" s="1"/>
  <c r="I167" i="10" s="1"/>
  <c r="I168" i="10" s="1"/>
  <c r="I169" i="10" s="1"/>
  <c r="I170" i="10" s="1"/>
  <c r="I171" i="10" s="1"/>
  <c r="I172" i="10" s="1"/>
  <c r="I173" i="10" s="1"/>
  <c r="I174" i="10" s="1"/>
  <c r="I175" i="10" s="1"/>
  <c r="I176" i="10" s="1"/>
  <c r="I177" i="10" s="1"/>
  <c r="I178" i="10" s="1"/>
  <c r="I179" i="10" s="1"/>
  <c r="I180" i="10" s="1"/>
  <c r="I181" i="10" s="1"/>
  <c r="Q60" i="14"/>
  <c r="Q61" i="14" s="1"/>
  <c r="O64" i="14"/>
  <c r="O65" i="14" s="1"/>
  <c r="O70" i="14" s="1"/>
  <c r="M60" i="14"/>
  <c r="M61" i="14" s="1"/>
  <c r="M62" i="14" s="1"/>
  <c r="K64" i="14"/>
  <c r="K65" i="14" s="1"/>
  <c r="K70" i="14" s="1"/>
  <c r="J60" i="14"/>
  <c r="J61" i="14" s="1"/>
  <c r="J62" i="14" s="1"/>
  <c r="H64" i="14"/>
  <c r="H65" i="14" s="1"/>
  <c r="H70" i="14" s="1"/>
  <c r="L119" i="5"/>
  <c r="L120" i="5" s="1"/>
  <c r="L121" i="5" s="1"/>
  <c r="L122" i="5" s="1"/>
  <c r="G52" i="4"/>
  <c r="M13" i="8" l="1"/>
  <c r="L12" i="8"/>
  <c r="L15" i="8" s="1"/>
  <c r="P62" i="5"/>
  <c r="P63" i="5" s="1"/>
  <c r="P64" i="5" s="1"/>
  <c r="P65" i="5" s="1"/>
  <c r="P66" i="5" s="1"/>
  <c r="P67" i="5" s="1"/>
  <c r="P68" i="5" s="1"/>
  <c r="P69" i="5" s="1"/>
  <c r="P70" i="5" s="1"/>
  <c r="P71" i="5" s="1"/>
  <c r="P72" i="5" s="1"/>
  <c r="P73" i="5" s="1"/>
  <c r="P74" i="5" s="1"/>
  <c r="P75" i="5" s="1"/>
  <c r="P76" i="5" s="1"/>
  <c r="P77" i="5" s="1"/>
  <c r="P78" i="5" s="1"/>
  <c r="P79" i="5" s="1"/>
  <c r="P80" i="5" s="1"/>
  <c r="P81" i="5" s="1"/>
  <c r="P82" i="5" s="1"/>
  <c r="P83" i="5" s="1"/>
  <c r="I130" i="10"/>
  <c r="I131" i="10" s="1"/>
  <c r="I132" i="10" s="1"/>
  <c r="I133" i="10" s="1"/>
  <c r="I134" i="10" s="1"/>
  <c r="I135" i="10" s="1"/>
  <c r="I153" i="10"/>
  <c r="I154" i="10" s="1"/>
  <c r="I155" i="10" s="1"/>
  <c r="I156" i="10" s="1"/>
  <c r="I157" i="10" s="1"/>
  <c r="I158" i="10" s="1"/>
  <c r="F12" i="8"/>
  <c r="E18" i="8"/>
  <c r="E17" i="8" s="1"/>
  <c r="L123" i="5"/>
  <c r="L124" i="5" s="1"/>
  <c r="L125" i="5" s="1"/>
  <c r="L126" i="5" s="1"/>
  <c r="L127" i="5" s="1"/>
  <c r="L128" i="5" s="1"/>
  <c r="L129" i="5" s="1"/>
  <c r="G204" i="10"/>
  <c r="G205" i="10" s="1"/>
  <c r="G209" i="10" s="1"/>
  <c r="I188" i="10"/>
  <c r="I189" i="10" s="1"/>
  <c r="I190" i="10" s="1"/>
  <c r="I191" i="10" s="1"/>
  <c r="I192" i="10" s="1"/>
  <c r="I193" i="10" s="1"/>
  <c r="I194" i="10" s="1"/>
  <c r="I195" i="10" s="1"/>
  <c r="I196" i="10" s="1"/>
  <c r="I197" i="10" s="1"/>
  <c r="I198" i="10" s="1"/>
  <c r="I199" i="10" s="1"/>
  <c r="I200" i="10" s="1"/>
  <c r="I201" i="10" s="1"/>
  <c r="Q70" i="14"/>
  <c r="Q71" i="14" s="1"/>
  <c r="O74" i="14"/>
  <c r="O75" i="14" s="1"/>
  <c r="O80" i="14" s="1"/>
  <c r="Q62" i="14"/>
  <c r="M70" i="14"/>
  <c r="M71" i="14" s="1"/>
  <c r="K74" i="14"/>
  <c r="K75" i="14" s="1"/>
  <c r="K80" i="14" s="1"/>
  <c r="J70" i="14"/>
  <c r="J71" i="14" s="1"/>
  <c r="J72" i="14" s="1"/>
  <c r="H74" i="14"/>
  <c r="H75" i="14" s="1"/>
  <c r="M12" i="8" l="1"/>
  <c r="P84" i="5"/>
  <c r="P85" i="5" s="1"/>
  <c r="P86" i="5" s="1"/>
  <c r="P87" i="5" s="1"/>
  <c r="P88" i="5" s="1"/>
  <c r="P89" i="5" s="1"/>
  <c r="P90" i="5" s="1"/>
  <c r="P91" i="5" s="1"/>
  <c r="P92" i="5" s="1"/>
  <c r="P93" i="5" s="1"/>
  <c r="P94" i="5" s="1"/>
  <c r="P95" i="5" s="1"/>
  <c r="P96" i="5" s="1"/>
  <c r="P97" i="5" s="1"/>
  <c r="P98" i="5" s="1"/>
  <c r="P99" i="5" s="1"/>
  <c r="P100" i="5" s="1"/>
  <c r="P101" i="5" s="1"/>
  <c r="P102" i="5" s="1"/>
  <c r="P103" i="5" s="1"/>
  <c r="P104" i="5" s="1"/>
  <c r="P105" i="5" s="1"/>
  <c r="P106" i="5" s="1"/>
  <c r="P107" i="5" s="1"/>
  <c r="I202" i="10"/>
  <c r="G51" i="6"/>
  <c r="G54" i="6" s="1"/>
  <c r="H80" i="14"/>
  <c r="J80" i="14" s="1"/>
  <c r="J81" i="14" s="1"/>
  <c r="J82" i="14" s="1"/>
  <c r="J83" i="14" s="1"/>
  <c r="I209" i="10"/>
  <c r="I210" i="10" s="1"/>
  <c r="I211" i="10" s="1"/>
  <c r="I212" i="10" s="1"/>
  <c r="G226" i="10"/>
  <c r="G227" i="10" s="1"/>
  <c r="G231" i="10" s="1"/>
  <c r="Q72" i="14"/>
  <c r="Q80" i="14"/>
  <c r="Q81" i="14" s="1"/>
  <c r="O94" i="14"/>
  <c r="O95" i="14" s="1"/>
  <c r="O100" i="14" s="1"/>
  <c r="M80" i="14"/>
  <c r="M81" i="14" s="1"/>
  <c r="K94" i="14"/>
  <c r="K95" i="14" s="1"/>
  <c r="K100" i="14" s="1"/>
  <c r="J92" i="14" l="1"/>
  <c r="J84" i="14"/>
  <c r="J85" i="14" s="1"/>
  <c r="J86" i="14" s="1"/>
  <c r="J87" i="14" s="1"/>
  <c r="J88" i="14" s="1"/>
  <c r="J89" i="14" s="1"/>
  <c r="J90" i="14" s="1"/>
  <c r="J91" i="14" s="1"/>
  <c r="L18" i="8"/>
  <c r="M82" i="14"/>
  <c r="M83" i="14" s="1"/>
  <c r="M92" i="14" s="1"/>
  <c r="G56" i="6"/>
  <c r="G58" i="6"/>
  <c r="G55" i="6"/>
  <c r="L19" i="8" s="1"/>
  <c r="G59" i="6"/>
  <c r="L21" i="8" s="1"/>
  <c r="G57" i="6"/>
  <c r="H94" i="14"/>
  <c r="K22" i="8"/>
  <c r="I213" i="10"/>
  <c r="I214" i="10" s="1"/>
  <c r="I215" i="10" s="1"/>
  <c r="K29" i="8"/>
  <c r="I231" i="10"/>
  <c r="I232" i="10" s="1"/>
  <c r="I233" i="10" s="1"/>
  <c r="G251" i="10"/>
  <c r="G252" i="10" s="1"/>
  <c r="G256" i="10" s="1"/>
  <c r="G278" i="10" s="1"/>
  <c r="Q87" i="14"/>
  <c r="Q88" i="14" s="1"/>
  <c r="Q92" i="14" s="1"/>
  <c r="Q100" i="14"/>
  <c r="O104" i="14"/>
  <c r="O105" i="14" s="1"/>
  <c r="O110" i="14" s="1"/>
  <c r="M100" i="14"/>
  <c r="K104" i="14"/>
  <c r="K105" i="14" s="1"/>
  <c r="K110" i="14" s="1"/>
  <c r="L20" i="8" l="1"/>
  <c r="M20" i="8" s="1"/>
  <c r="G60" i="6"/>
  <c r="G61" i="6" s="1"/>
  <c r="D17" i="7"/>
  <c r="D19" i="7" s="1"/>
  <c r="L27" i="8"/>
  <c r="I216" i="10"/>
  <c r="I217" i="10" s="1"/>
  <c r="I218" i="10" s="1"/>
  <c r="I219" i="10" s="1"/>
  <c r="I220" i="10" s="1"/>
  <c r="I221" i="10" s="1"/>
  <c r="I222" i="10" s="1"/>
  <c r="I223" i="10" s="1"/>
  <c r="I224" i="10" s="1"/>
  <c r="D8" i="7"/>
  <c r="H95" i="14"/>
  <c r="H100" i="14" s="1"/>
  <c r="K32" i="8"/>
  <c r="M101" i="14"/>
  <c r="M102" i="14" s="1"/>
  <c r="Q101" i="14"/>
  <c r="Q102" i="14" s="1"/>
  <c r="I234" i="10"/>
  <c r="I235" i="10" s="1"/>
  <c r="I236" i="10" s="1"/>
  <c r="I237" i="10" s="1"/>
  <c r="I238" i="10" s="1"/>
  <c r="I239" i="10" s="1"/>
  <c r="I240" i="10" s="1"/>
  <c r="I241" i="10" s="1"/>
  <c r="I242" i="10" s="1"/>
  <c r="I243" i="10" s="1"/>
  <c r="I244" i="10" s="1"/>
  <c r="I245" i="10" s="1"/>
  <c r="G279" i="10"/>
  <c r="I256" i="10"/>
  <c r="I257" i="10" s="1"/>
  <c r="I258" i="10" s="1"/>
  <c r="I259" i="10" s="1"/>
  <c r="I260" i="10" s="1"/>
  <c r="I261" i="10" s="1"/>
  <c r="I262" i="10" s="1"/>
  <c r="I263" i="10" s="1"/>
  <c r="I264" i="10" s="1"/>
  <c r="Q110" i="14"/>
  <c r="O115" i="14"/>
  <c r="O116" i="14" s="1"/>
  <c r="O121" i="14" s="1"/>
  <c r="M110" i="14"/>
  <c r="M111" i="14" s="1"/>
  <c r="M112" i="14" s="1"/>
  <c r="M113" i="14" s="1"/>
  <c r="K115" i="14"/>
  <c r="K116" i="14" s="1"/>
  <c r="K121" i="14" s="1"/>
  <c r="L22" i="8" l="1"/>
  <c r="M22" i="8" s="1"/>
  <c r="M23" i="8" s="1"/>
  <c r="M21" i="8"/>
  <c r="L29" i="8"/>
  <c r="D10" i="7"/>
  <c r="G280" i="10"/>
  <c r="J100" i="14"/>
  <c r="J101" i="14" s="1"/>
  <c r="J102" i="14" s="1"/>
  <c r="H104" i="14"/>
  <c r="H105" i="14" s="1"/>
  <c r="H110" i="14" s="1"/>
  <c r="I246" i="10"/>
  <c r="I247" i="10" s="1"/>
  <c r="I248" i="10" s="1"/>
  <c r="I249" i="10" s="1"/>
  <c r="I265" i="10"/>
  <c r="I266" i="10" s="1"/>
  <c r="I267" i="10" s="1"/>
  <c r="I268" i="10" s="1"/>
  <c r="I269" i="10" s="1"/>
  <c r="I270" i="10" s="1"/>
  <c r="I271" i="10" s="1"/>
  <c r="I272" i="10" s="1"/>
  <c r="I273" i="10" s="1"/>
  <c r="Q113" i="14"/>
  <c r="O131" i="14"/>
  <c r="O132" i="14" s="1"/>
  <c r="Q121" i="14"/>
  <c r="Q122" i="14" s="1"/>
  <c r="Q128" i="14" s="1"/>
  <c r="Q129" i="14" s="1"/>
  <c r="M121" i="14"/>
  <c r="M122" i="14" s="1"/>
  <c r="M123" i="14" s="1"/>
  <c r="M124" i="14" s="1"/>
  <c r="K131" i="14"/>
  <c r="K132" i="14" s="1"/>
  <c r="M125" i="14" l="1"/>
  <c r="M126" i="14" s="1"/>
  <c r="M129" i="14" s="1"/>
  <c r="I276" i="10"/>
  <c r="P157" i="5"/>
  <c r="L32" i="8"/>
  <c r="J110" i="14"/>
  <c r="J111" i="14" s="1"/>
  <c r="J112" i="14" s="1"/>
  <c r="J113" i="14" s="1"/>
  <c r="H115" i="14"/>
  <c r="H116" i="14" s="1"/>
  <c r="H121" i="14" l="1"/>
  <c r="H131" i="14" l="1"/>
  <c r="H132" i="14" s="1"/>
  <c r="K133" i="14" s="1"/>
  <c r="F121" i="15" s="1"/>
  <c r="J121" i="14"/>
  <c r="J122" i="14" s="1"/>
  <c r="J123" i="14" s="1"/>
  <c r="J124" i="14" s="1"/>
  <c r="E119" i="15" l="1"/>
  <c r="E121" i="15" s="1"/>
  <c r="J125" i="14"/>
  <c r="P158" i="5"/>
  <c r="F11" i="8" l="1"/>
  <c r="F10" i="8" s="1"/>
  <c r="F23" i="8" s="1"/>
  <c r="F32" i="8" s="1"/>
  <c r="F33" i="8" s="1"/>
  <c r="F122" i="15"/>
  <c r="E122" i="15"/>
  <c r="J126" i="14"/>
  <c r="E10" i="8"/>
  <c r="E23" i="8" s="1"/>
  <c r="T158" i="5"/>
  <c r="L157" i="5"/>
  <c r="L158" i="5" s="1"/>
  <c r="J127" i="14" l="1"/>
  <c r="J128" i="14" s="1"/>
  <c r="J129" i="14" s="1"/>
  <c r="G55" i="12"/>
  <c r="K55" i="12"/>
  <c r="G59" i="12" l="1"/>
  <c r="G80" i="12" s="1"/>
  <c r="E86" i="12"/>
  <c r="E87" i="12" s="1"/>
  <c r="K59" i="12"/>
  <c r="K80" i="12" s="1"/>
  <c r="E96" i="12" l="1"/>
  <c r="F29" i="8" l="1"/>
  <c r="L33" i="8" s="1"/>
  <c r="E29" i="8" l="1"/>
  <c r="E32" i="8" l="1"/>
</calcChain>
</file>

<file path=xl/sharedStrings.xml><?xml version="1.0" encoding="utf-8"?>
<sst xmlns="http://schemas.openxmlformats.org/spreadsheetml/2006/main" count="2829" uniqueCount="931">
  <si>
    <t>KAS</t>
  </si>
  <si>
    <t>BANK</t>
  </si>
  <si>
    <t>TABUNGAN</t>
  </si>
  <si>
    <t>AKTIVA</t>
  </si>
  <si>
    <t>PASIVA</t>
  </si>
  <si>
    <t>JUMLAH</t>
  </si>
  <si>
    <t>PIUTANG</t>
  </si>
  <si>
    <t>DAFTAR PIUTANG</t>
  </si>
  <si>
    <t>NO</t>
  </si>
  <si>
    <t>CODE</t>
  </si>
  <si>
    <t>NAMA</t>
  </si>
  <si>
    <t>MASUK</t>
  </si>
  <si>
    <t>KELUAR</t>
  </si>
  <si>
    <t>SISA PIUTANG</t>
  </si>
  <si>
    <t>Nopember</t>
  </si>
  <si>
    <t>Desember</t>
  </si>
  <si>
    <t>Mei</t>
  </si>
  <si>
    <t>Juni</t>
  </si>
  <si>
    <t>CATATAN HARIAN</t>
  </si>
  <si>
    <t>TANGGAL</t>
  </si>
  <si>
    <t>URAIAN</t>
  </si>
  <si>
    <t>SISA</t>
  </si>
  <si>
    <t>A-001</t>
  </si>
  <si>
    <t>A-002</t>
  </si>
  <si>
    <t>A-003</t>
  </si>
  <si>
    <t>A-004</t>
  </si>
  <si>
    <t>A-005</t>
  </si>
  <si>
    <t>A-006</t>
  </si>
  <si>
    <t>A-007</t>
  </si>
  <si>
    <t>SALDO AWAL</t>
  </si>
  <si>
    <t>A-008</t>
  </si>
  <si>
    <t>A-009</t>
  </si>
  <si>
    <t>A-010</t>
  </si>
  <si>
    <t>A-011</t>
  </si>
  <si>
    <t>A-012</t>
  </si>
  <si>
    <t>A-013</t>
  </si>
  <si>
    <t>A-014</t>
  </si>
  <si>
    <t>A-015</t>
  </si>
  <si>
    <t>A-016</t>
  </si>
  <si>
    <t>A-017</t>
  </si>
  <si>
    <t>A-018</t>
  </si>
  <si>
    <t>A-019</t>
  </si>
  <si>
    <t>A-020</t>
  </si>
  <si>
    <t>A-021</t>
  </si>
  <si>
    <t>A-022</t>
  </si>
  <si>
    <t>A-023</t>
  </si>
  <si>
    <t>A-024</t>
  </si>
  <si>
    <t>A-025</t>
  </si>
  <si>
    <t>A-026</t>
  </si>
  <si>
    <t>A-027</t>
  </si>
  <si>
    <t>A-028</t>
  </si>
  <si>
    <t>A-029</t>
  </si>
  <si>
    <t>A-030</t>
  </si>
  <si>
    <t>A-031</t>
  </si>
  <si>
    <t>A-032</t>
  </si>
  <si>
    <t>A-033</t>
  </si>
  <si>
    <t>A-034</t>
  </si>
  <si>
    <t>A-035</t>
  </si>
  <si>
    <t>A-036</t>
  </si>
  <si>
    <t>A-037</t>
  </si>
  <si>
    <t>A-038</t>
  </si>
  <si>
    <t>A-039</t>
  </si>
  <si>
    <t>A-040</t>
  </si>
  <si>
    <t>Bulan ini</t>
  </si>
  <si>
    <t>Sampai bulan ini</t>
  </si>
  <si>
    <t>SALDO</t>
  </si>
  <si>
    <t>xxx</t>
  </si>
  <si>
    <t>A-041</t>
  </si>
  <si>
    <t>A-042</t>
  </si>
  <si>
    <t>A-043</t>
  </si>
  <si>
    <t>A-044</t>
  </si>
  <si>
    <t>A-045</t>
  </si>
  <si>
    <t>A-046</t>
  </si>
  <si>
    <t>A-047</t>
  </si>
  <si>
    <t>A-048</t>
  </si>
  <si>
    <t>A-049</t>
  </si>
  <si>
    <t>A-050</t>
  </si>
  <si>
    <t>A-051</t>
  </si>
  <si>
    <t>A-052</t>
  </si>
  <si>
    <t>A-053</t>
  </si>
  <si>
    <t>A-054</t>
  </si>
  <si>
    <t>A-055</t>
  </si>
  <si>
    <t>DANA AWAL</t>
  </si>
  <si>
    <t>Lain-lain</t>
  </si>
  <si>
    <t>PIUTANG ANGGOTA</t>
  </si>
  <si>
    <t>BELANJA</t>
  </si>
  <si>
    <t>PIUTANG JANGKA PANJAG/INVESTASI</t>
  </si>
  <si>
    <t>HUTANG</t>
  </si>
  <si>
    <t>TABUNGAN ANGGOTA</t>
  </si>
  <si>
    <t>HUTANG PIHAK KE TIGA</t>
  </si>
  <si>
    <t>PENDAPATAN</t>
  </si>
  <si>
    <t>SUMBANGAN</t>
  </si>
  <si>
    <t>PENDAPATAN LAIN-LAIN</t>
  </si>
  <si>
    <t>TOTAL</t>
  </si>
  <si>
    <t>Operasional</t>
  </si>
  <si>
    <t>Gaji/Honor Pegawai</t>
  </si>
  <si>
    <t>Transportasi</t>
  </si>
  <si>
    <t>Alat Tulis Kantor</t>
  </si>
  <si>
    <t>Perawatan</t>
  </si>
  <si>
    <t>Rapat-rapat</t>
  </si>
  <si>
    <t>SURPLUS / DEVISIT</t>
  </si>
  <si>
    <t>Bunga Pinjaman</t>
  </si>
  <si>
    <t>TOTAL MASUK</t>
  </si>
  <si>
    <t xml:space="preserve">LAPORAN LABA / RUGI </t>
  </si>
  <si>
    <t>PENDAPATAN HASIL USAHA</t>
  </si>
  <si>
    <t>Rp.</t>
  </si>
  <si>
    <t>Sumbangan</t>
  </si>
  <si>
    <t>Bunga bank</t>
  </si>
  <si>
    <t>Jumlah</t>
  </si>
  <si>
    <t>TOTAL PENDAPATAN</t>
  </si>
  <si>
    <t>BIAYA - BIAYA</t>
  </si>
  <si>
    <t>LAIN-LAIN</t>
  </si>
  <si>
    <t>BIAYA LAIN-LAIN</t>
  </si>
  <si>
    <t>Biaya administrasi dan pajak atas bunga bank</t>
  </si>
  <si>
    <t>TOTAL BIAYA</t>
  </si>
  <si>
    <t>Laba/rugi Kotor</t>
  </si>
  <si>
    <t>Biaya Pajak</t>
  </si>
  <si>
    <t>LABA /rugi BERSIH</t>
  </si>
  <si>
    <t>PEMBAGIAN HASIL USAHA</t>
  </si>
  <si>
    <t>Pengurus / Pelaksana BUMDesa</t>
  </si>
  <si>
    <t>Pengawas/Pembina</t>
  </si>
  <si>
    <t>Pendidikan, pelatihan DAN Sosial</t>
  </si>
  <si>
    <t>DANA SOSIAL</t>
  </si>
  <si>
    <t>PENAMBAHAN MODAL BUMDesa</t>
  </si>
  <si>
    <t>KAS DESA</t>
  </si>
  <si>
    <t>Dilaporkan Oleh;</t>
  </si>
  <si>
    <t>Dibuat Oleh;</t>
  </si>
  <si>
    <t>Mengetahui;</t>
  </si>
  <si>
    <t xml:space="preserve">Disetujui Oleh </t>
  </si>
  <si>
    <t>LAPORAN PERUBAHAN MODAL</t>
  </si>
  <si>
    <t>MODA AWAL (1)</t>
  </si>
  <si>
    <t>Modal Masyarakat</t>
  </si>
  <si>
    <t xml:space="preserve">Jumlah (1+2) </t>
  </si>
  <si>
    <t>Modal Desa</t>
  </si>
  <si>
    <t>NERACA SALDO</t>
  </si>
  <si>
    <t>NAMA REKENING</t>
  </si>
  <si>
    <t>01</t>
  </si>
  <si>
    <t>AKTIVA LANCAR</t>
  </si>
  <si>
    <t>04</t>
  </si>
  <si>
    <t>HUTANG LANCAR</t>
  </si>
  <si>
    <t>02</t>
  </si>
  <si>
    <t>SHU Belum dibagi</t>
  </si>
  <si>
    <t>05</t>
  </si>
  <si>
    <t>Jumlah Aktiva Lancar</t>
  </si>
  <si>
    <t>03</t>
  </si>
  <si>
    <t>AKTIVA TETAP</t>
  </si>
  <si>
    <t>Tanah/Gedung</t>
  </si>
  <si>
    <t>MODAL</t>
  </si>
  <si>
    <t>Peralatan</t>
  </si>
  <si>
    <t>Penyertaan modal dr Desa</t>
  </si>
  <si>
    <t>Pinjaman Masyarakat</t>
  </si>
  <si>
    <t>Hutang Tabungan Masyarakat</t>
  </si>
  <si>
    <t>A-056</t>
  </si>
  <si>
    <t>A-057</t>
  </si>
  <si>
    <t>A-058</t>
  </si>
  <si>
    <t>A-059</t>
  </si>
  <si>
    <t>A-060</t>
  </si>
  <si>
    <t>A-061</t>
  </si>
  <si>
    <t>A-062</t>
  </si>
  <si>
    <t>A-063</t>
  </si>
  <si>
    <t>A-064</t>
  </si>
  <si>
    <t>A-065</t>
  </si>
  <si>
    <t>A-066</t>
  </si>
  <si>
    <t>Sri Jayanti</t>
  </si>
  <si>
    <t xml:space="preserve"> Adi Kuswantoro</t>
  </si>
  <si>
    <t>Agus Ain</t>
  </si>
  <si>
    <t>Alimah</t>
  </si>
  <si>
    <t>Tri Yuliarsih</t>
  </si>
  <si>
    <t>Kuswinarti</t>
  </si>
  <si>
    <t>Hariyanto</t>
  </si>
  <si>
    <t>Giyanto</t>
  </si>
  <si>
    <t>Imroatus Sholichah</t>
  </si>
  <si>
    <t>Teguh Prasetya</t>
  </si>
  <si>
    <t>Djayos</t>
  </si>
  <si>
    <t>Sutriman</t>
  </si>
  <si>
    <t>Sasdji Abdullah</t>
  </si>
  <si>
    <t>M. Hadi Praitno</t>
  </si>
  <si>
    <t>Anwar Wibisono</t>
  </si>
  <si>
    <t>Choirul Anwar</t>
  </si>
  <si>
    <t>Towardi</t>
  </si>
  <si>
    <t>Choriyah</t>
  </si>
  <si>
    <t>Muji Santoso</t>
  </si>
  <si>
    <t>Muhammad Arifin</t>
  </si>
  <si>
    <t>Tri Endah</t>
  </si>
  <si>
    <t>Siti Nur afifa</t>
  </si>
  <si>
    <t>Susi Sri Wahyuni</t>
  </si>
  <si>
    <t>Hari Bayudi</t>
  </si>
  <si>
    <t>Ilham Hendrik</t>
  </si>
  <si>
    <t>Abdul Rochman</t>
  </si>
  <si>
    <t>Bagus Setiawan</t>
  </si>
  <si>
    <t>Dwi Cahyorini</t>
  </si>
  <si>
    <t>Mamik Kurianawati</t>
  </si>
  <si>
    <t>Era puspitasari</t>
  </si>
  <si>
    <t>Sutjipto</t>
  </si>
  <si>
    <t>Titi Hari N</t>
  </si>
  <si>
    <t>Suryawan Wisnu Broto</t>
  </si>
  <si>
    <t>Untung</t>
  </si>
  <si>
    <t>Penerima</t>
  </si>
  <si>
    <t>GAPOKTAN</t>
  </si>
  <si>
    <t>A-000</t>
  </si>
  <si>
    <t>SIMPANAN POKOK</t>
  </si>
  <si>
    <t>SIMPANAN WAJIB</t>
  </si>
  <si>
    <t>3001-1</t>
  </si>
  <si>
    <t>3001-2</t>
  </si>
  <si>
    <t>Administrasi Pinjaman</t>
  </si>
  <si>
    <t>USAHA PINJAMAN</t>
  </si>
  <si>
    <t>BUMDES "BAROKAH"</t>
  </si>
  <si>
    <t>Desa Balongbesuk Kecamatan Diwek Kabupaten Jombang</t>
  </si>
  <si>
    <t>Simpanan Pokok</t>
  </si>
  <si>
    <t>Simpanan Wajib</t>
  </si>
  <si>
    <t>Pendapatan Jasa dari GAPOKTAN</t>
  </si>
  <si>
    <t xml:space="preserve">Pengembalian Pinjaman </t>
  </si>
  <si>
    <t>Samingan</t>
  </si>
  <si>
    <t>Dwi Astutik</t>
  </si>
  <si>
    <t>Paini</t>
  </si>
  <si>
    <t>No</t>
  </si>
  <si>
    <t>Bulan</t>
  </si>
  <si>
    <t>Bunga</t>
  </si>
  <si>
    <t>Admin</t>
  </si>
  <si>
    <t>Pajak atas Bunga</t>
  </si>
  <si>
    <t>Sulastri</t>
  </si>
  <si>
    <t>M. Hilaluddin</t>
  </si>
  <si>
    <t>Kamdani</t>
  </si>
  <si>
    <t>Sumarmah</t>
  </si>
  <si>
    <t>Suparno</t>
  </si>
  <si>
    <t>Priokustanto</t>
  </si>
  <si>
    <t>Vivi Diana</t>
  </si>
  <si>
    <t>Lilik Farida</t>
  </si>
  <si>
    <t>Riantin</t>
  </si>
  <si>
    <t>BUMDES 'BAROKAH'</t>
  </si>
  <si>
    <t>Desa Balongbesuk Kec. Diwek Jombang</t>
  </si>
  <si>
    <t>MAMIK KURNIAWATI</t>
  </si>
  <si>
    <t>Direktur BUMDesa "BAROKAH"</t>
  </si>
  <si>
    <t>Bendahara BUMDesa "BAROKAH"</t>
  </si>
  <si>
    <t>Badan Pengawas</t>
  </si>
  <si>
    <t>MOCHAMAD SAIFUR</t>
  </si>
  <si>
    <t>Kepala Desa Balongbesuk</t>
  </si>
  <si>
    <t>BUMDES "BAROKAH" Balongbesuk Diwek Jombang</t>
  </si>
  <si>
    <t>Admin/Pajak Atas Bunga Bank</t>
  </si>
  <si>
    <t>BUKU BANTU TRANSAKSI BANK</t>
  </si>
  <si>
    <t>P-041</t>
  </si>
  <si>
    <t>P-001</t>
  </si>
  <si>
    <t>P-002</t>
  </si>
  <si>
    <t>P-003</t>
  </si>
  <si>
    <t>P-004</t>
  </si>
  <si>
    <t>P-005</t>
  </si>
  <si>
    <t>P-006</t>
  </si>
  <si>
    <t>P-007</t>
  </si>
  <si>
    <t>P-008</t>
  </si>
  <si>
    <t>P-009</t>
  </si>
  <si>
    <t>P-010</t>
  </si>
  <si>
    <t>P-011</t>
  </si>
  <si>
    <t>P-012</t>
  </si>
  <si>
    <t>P-013</t>
  </si>
  <si>
    <t>P-014</t>
  </si>
  <si>
    <t>P-015</t>
  </si>
  <si>
    <t>P-016</t>
  </si>
  <si>
    <t>P-017</t>
  </si>
  <si>
    <t>P-018</t>
  </si>
  <si>
    <t>P-019</t>
  </si>
  <si>
    <t>P-020</t>
  </si>
  <si>
    <t>P-021</t>
  </si>
  <si>
    <t>P-022</t>
  </si>
  <si>
    <t>P-023</t>
  </si>
  <si>
    <t>P-024</t>
  </si>
  <si>
    <t>P-025</t>
  </si>
  <si>
    <t>P-026</t>
  </si>
  <si>
    <t>P-027</t>
  </si>
  <si>
    <t>P-028</t>
  </si>
  <si>
    <t>P-029</t>
  </si>
  <si>
    <t>P-030</t>
  </si>
  <si>
    <t>P-031</t>
  </si>
  <si>
    <t>P-032</t>
  </si>
  <si>
    <t>P-033</t>
  </si>
  <si>
    <t>P-034</t>
  </si>
  <si>
    <t>P-035</t>
  </si>
  <si>
    <t>P-036</t>
  </si>
  <si>
    <t>P-037</t>
  </si>
  <si>
    <t>P-038</t>
  </si>
  <si>
    <t>P-039</t>
  </si>
  <si>
    <t>P-040</t>
  </si>
  <si>
    <t>P-042</t>
  </si>
  <si>
    <t>P-043</t>
  </si>
  <si>
    <t>P-044</t>
  </si>
  <si>
    <t>P-045</t>
  </si>
  <si>
    <t>P-046</t>
  </si>
  <si>
    <t>P-047</t>
  </si>
  <si>
    <t>P-048</t>
  </si>
  <si>
    <t>P-049</t>
  </si>
  <si>
    <t>P-050</t>
  </si>
  <si>
    <t>P-051</t>
  </si>
  <si>
    <t>P-052</t>
  </si>
  <si>
    <t>P-053</t>
  </si>
  <si>
    <t>P-054</t>
  </si>
  <si>
    <t>P-055</t>
  </si>
  <si>
    <t>DAFTAR SIMPANAN POKOK</t>
  </si>
  <si>
    <t>DAFTAR SIMPANAN WAJIB</t>
  </si>
  <si>
    <t>S-001</t>
  </si>
  <si>
    <t>S-002</t>
  </si>
  <si>
    <t>S-003</t>
  </si>
  <si>
    <t>S-004</t>
  </si>
  <si>
    <t>S-005</t>
  </si>
  <si>
    <t>S-006</t>
  </si>
  <si>
    <t>S-007</t>
  </si>
  <si>
    <t>S-008</t>
  </si>
  <si>
    <t>S-009</t>
  </si>
  <si>
    <t>S-010</t>
  </si>
  <si>
    <t>S-011</t>
  </si>
  <si>
    <t>S-012</t>
  </si>
  <si>
    <t>S-013</t>
  </si>
  <si>
    <t>S-014</t>
  </si>
  <si>
    <t>S-015</t>
  </si>
  <si>
    <t>S-016</t>
  </si>
  <si>
    <t>S-017</t>
  </si>
  <si>
    <t>S-018</t>
  </si>
  <si>
    <t>S-019</t>
  </si>
  <si>
    <t>S-020</t>
  </si>
  <si>
    <t>S-021</t>
  </si>
  <si>
    <t>S-022</t>
  </si>
  <si>
    <t>S-023</t>
  </si>
  <si>
    <t>S-024</t>
  </si>
  <si>
    <t>S-025</t>
  </si>
  <si>
    <t>S-026</t>
  </si>
  <si>
    <t>S-027</t>
  </si>
  <si>
    <t>S-028</t>
  </si>
  <si>
    <t>S-029</t>
  </si>
  <si>
    <t>S-030</t>
  </si>
  <si>
    <t>S-031</t>
  </si>
  <si>
    <t>S-032</t>
  </si>
  <si>
    <t>S-033</t>
  </si>
  <si>
    <t>S-034</t>
  </si>
  <si>
    <t>S-035</t>
  </si>
  <si>
    <t>S-036</t>
  </si>
  <si>
    <t>S-037</t>
  </si>
  <si>
    <t>S-038</t>
  </si>
  <si>
    <t>S-039</t>
  </si>
  <si>
    <t>S-040</t>
  </si>
  <si>
    <t>S-041</t>
  </si>
  <si>
    <t>S-042</t>
  </si>
  <si>
    <t>S-043</t>
  </si>
  <si>
    <t>S-044</t>
  </si>
  <si>
    <t>S-045</t>
  </si>
  <si>
    <t>S-046</t>
  </si>
  <si>
    <t>S-047</t>
  </si>
  <si>
    <t>S-048</t>
  </si>
  <si>
    <t>S-049</t>
  </si>
  <si>
    <t>S-050</t>
  </si>
  <si>
    <t>S-051</t>
  </si>
  <si>
    <t>S-052</t>
  </si>
  <si>
    <t>S-053</t>
  </si>
  <si>
    <t>S-054</t>
  </si>
  <si>
    <t>S-055</t>
  </si>
  <si>
    <t>Saldo Awal Tahun</t>
  </si>
  <si>
    <t>Pendapatan</t>
  </si>
  <si>
    <t>Pengeluaran</t>
  </si>
  <si>
    <t xml:space="preserve">CASH FLOW </t>
  </si>
  <si>
    <t>BUMDES "BAROKAH" BALONGBESUK DIWEK JOMBANG</t>
  </si>
  <si>
    <t>UMUM</t>
  </si>
  <si>
    <t>Pengembalian Uang dari Gapoktan</t>
  </si>
  <si>
    <t>Pengembalian Pinjaman Masyarakat</t>
  </si>
  <si>
    <t>Jasa Pinjaman</t>
  </si>
  <si>
    <t>Susi Purwanti</t>
  </si>
  <si>
    <t>Slamet</t>
  </si>
  <si>
    <t>Siti Khoiriyah</t>
  </si>
  <si>
    <t>Parni</t>
  </si>
  <si>
    <t>Erika Dian</t>
  </si>
  <si>
    <t>Sudarmi</t>
  </si>
  <si>
    <t>Sutarti</t>
  </si>
  <si>
    <t>Ika Purwati</t>
  </si>
  <si>
    <t>P-056</t>
  </si>
  <si>
    <t>P-057</t>
  </si>
  <si>
    <t>P-058</t>
  </si>
  <si>
    <t>P-059</t>
  </si>
  <si>
    <t>P-060</t>
  </si>
  <si>
    <t>P-061</t>
  </si>
  <si>
    <t>P-062</t>
  </si>
  <si>
    <t>P-063</t>
  </si>
  <si>
    <t>P-064</t>
  </si>
  <si>
    <t>Suliyah</t>
  </si>
  <si>
    <t>Suparti</t>
  </si>
  <si>
    <t>Winarti</t>
  </si>
  <si>
    <t>Sunarsih</t>
  </si>
  <si>
    <t>Jumadi</t>
  </si>
  <si>
    <t>Lilik Iswati</t>
  </si>
  <si>
    <t>Ajisoko</t>
  </si>
  <si>
    <t>Endah</t>
  </si>
  <si>
    <t>Ratna Budi S.</t>
  </si>
  <si>
    <t>Winih I.</t>
  </si>
  <si>
    <t>S-056</t>
  </si>
  <si>
    <t>S-057</t>
  </si>
  <si>
    <t>S-058</t>
  </si>
  <si>
    <t>S-059</t>
  </si>
  <si>
    <t>S-060</t>
  </si>
  <si>
    <t>S-061</t>
  </si>
  <si>
    <t>S-062</t>
  </si>
  <si>
    <t>S-063</t>
  </si>
  <si>
    <t>S-064</t>
  </si>
  <si>
    <t>S-065</t>
  </si>
  <si>
    <t>S-066</t>
  </si>
  <si>
    <t>S-067</t>
  </si>
  <si>
    <t>S-068</t>
  </si>
  <si>
    <t>S-069</t>
  </si>
  <si>
    <t>S-070</t>
  </si>
  <si>
    <t>S-071</t>
  </si>
  <si>
    <t>S-072</t>
  </si>
  <si>
    <t>TOTAL MODAL AKHIR s/d 31 Desember 2019 (1+2+3)</t>
  </si>
  <si>
    <t>Kas Desa</t>
  </si>
  <si>
    <t>Penambahan Modal</t>
  </si>
  <si>
    <t>USAHA BUMDES</t>
  </si>
  <si>
    <t>SIMPAN PINJAM</t>
  </si>
  <si>
    <t>TAMBAHAN MODAL (2)</t>
  </si>
  <si>
    <t>HUTANG SHU</t>
  </si>
  <si>
    <t>TAHUN ANGGARAN 2021</t>
  </si>
  <si>
    <t>NUR SALIM</t>
  </si>
  <si>
    <t>UNIT PENGELOLAAN GEDUNG SERBA GUNA</t>
  </si>
  <si>
    <t>Saldo Bulan Januari</t>
  </si>
  <si>
    <t>Saldo Bulan Pebruari</t>
  </si>
  <si>
    <t>Saldo bulan Maret</t>
  </si>
  <si>
    <t>Saldo bulan April</t>
  </si>
  <si>
    <t>Saldo Bulan Nopember</t>
  </si>
  <si>
    <t>Saldo bulan Oktober</t>
  </si>
  <si>
    <t>Saldo bulan September</t>
  </si>
  <si>
    <t>PENDAPATAN PB</t>
  </si>
  <si>
    <t>PENDAPATAN SEWA GEDUNG (EVEN)</t>
  </si>
  <si>
    <t>Januari</t>
  </si>
  <si>
    <t>Pebruari</t>
  </si>
  <si>
    <t>Maret</t>
  </si>
  <si>
    <t>PIUTANG/CASH BON</t>
  </si>
  <si>
    <t>Piutang Tukang Kebun</t>
  </si>
  <si>
    <t>April</t>
  </si>
  <si>
    <t>UNIT USAHA GEDUNG SERBA GUNA</t>
  </si>
  <si>
    <t>Peralatan Kebersihan</t>
  </si>
  <si>
    <t>Listrik</t>
  </si>
  <si>
    <t>Peralatan Listrik</t>
  </si>
  <si>
    <t>Perawaan Lain-Lain</t>
  </si>
  <si>
    <t>Perlengkapan</t>
  </si>
  <si>
    <t>PENDAPATAN SEWA PERLENGKAPAN</t>
  </si>
  <si>
    <t>PIUTANG STAFF</t>
  </si>
  <si>
    <t>PERLENGKAPAN</t>
  </si>
  <si>
    <t>PERLENGKAPAN ELEKTRIK</t>
  </si>
  <si>
    <t xml:space="preserve">Juli </t>
  </si>
  <si>
    <t>Agustus</t>
  </si>
  <si>
    <t>September</t>
  </si>
  <si>
    <t>Oktober</t>
  </si>
  <si>
    <t>Saldo bulan Juni</t>
  </si>
  <si>
    <t>S/D JUNI</t>
  </si>
  <si>
    <t>MODAL AWAL</t>
  </si>
  <si>
    <t>PENGEMBALIAN PIUTANG</t>
  </si>
  <si>
    <t>PENGELUARAN</t>
  </si>
  <si>
    <t>Operasioal</t>
  </si>
  <si>
    <t>perlengkapan</t>
  </si>
  <si>
    <t>piutang</t>
  </si>
  <si>
    <t>TOTAL LEBIH/KURANG</t>
  </si>
  <si>
    <t xml:space="preserve">Dibuat Oleh </t>
  </si>
  <si>
    <t>Bendahara Unit Usaha GSG</t>
  </si>
  <si>
    <t xml:space="preserve">Kepala Unit </t>
  </si>
  <si>
    <t>( ……………………………..…… )</t>
  </si>
  <si>
    <t>( BASHORI, SPd )</t>
  </si>
  <si>
    <t>UNIT USAHA PPOB/AGEN POS</t>
  </si>
  <si>
    <t>DEPOSIT</t>
  </si>
  <si>
    <t>STR</t>
  </si>
  <si>
    <t>SETOR KE BENDAHARA BUMDES</t>
  </si>
  <si>
    <t>SETOR KE BENDAHARA</t>
  </si>
  <si>
    <t>Setor Ke Bendahara</t>
  </si>
  <si>
    <t>UNIT SIMPAN PINJAM</t>
  </si>
  <si>
    <t>Pinjaman POKTAN</t>
  </si>
  <si>
    <t>UNIT USAHA LAPAK/WARUNG</t>
  </si>
  <si>
    <t xml:space="preserve">UNIT USAHA GEDUNG SERGA GUNA </t>
  </si>
  <si>
    <t>Deposito</t>
  </si>
  <si>
    <t>DEPOSITO</t>
  </si>
  <si>
    <t>Pendapatan Transaksi</t>
  </si>
  <si>
    <t>Cetak</t>
  </si>
  <si>
    <t>ATK</t>
  </si>
  <si>
    <t>Printer</t>
  </si>
  <si>
    <t>Timbangan</t>
  </si>
  <si>
    <t>KAS DITANGAN</t>
  </si>
  <si>
    <t>KAS DI BANK</t>
  </si>
  <si>
    <t>Pendapatan Sewa Lapak/Warung</t>
  </si>
  <si>
    <t>Sewa Sarana Olah Raga</t>
  </si>
  <si>
    <t>Sewa Gedung</t>
  </si>
  <si>
    <t>UNIT USAHA AGEN POS/PPOB</t>
  </si>
  <si>
    <t>Jasa pembayaran</t>
  </si>
  <si>
    <t>Sewa Perlengkapan</t>
  </si>
  <si>
    <t>TOTAL PENDAPATAN USAHA</t>
  </si>
  <si>
    <t>OPERASIONAL PENGGURUS BUMDES</t>
  </si>
  <si>
    <t>OPERASIONAL UNIT USAHA</t>
  </si>
  <si>
    <t>UNIT USAHA SIMPAN PINJAM</t>
  </si>
  <si>
    <t>UNIT USAHA JASA PPOB</t>
  </si>
  <si>
    <t>SIMPANAN ANGGOTA</t>
  </si>
  <si>
    <t>HUTANG SHU BELUM DI BAGI</t>
  </si>
  <si>
    <t>SHU DESA</t>
  </si>
  <si>
    <t>SHU PENGURUS</t>
  </si>
  <si>
    <t>SHU PEMBINA/PENGAWAS</t>
  </si>
  <si>
    <t>KIPAS ANGIN</t>
  </si>
  <si>
    <t>Biaya Rapat-Rapat</t>
  </si>
  <si>
    <t>transportasi</t>
  </si>
  <si>
    <t>Kebersihan dan Peralatan Kebersihan</t>
  </si>
  <si>
    <t>Kegiatan lain</t>
  </si>
  <si>
    <t>Listrik dan Perlengkapan listrik</t>
  </si>
  <si>
    <t>KAS/BANK GEDUNG</t>
  </si>
  <si>
    <t>KAS/BANK SP</t>
  </si>
  <si>
    <t>AKUMULASI PENYUSUTAN</t>
  </si>
  <si>
    <t>NO REK</t>
  </si>
  <si>
    <t>Dilaporkan Oleh</t>
  </si>
  <si>
    <t>ERA PUSPITA SARI</t>
  </si>
  <si>
    <t>Direktur BUMDES</t>
  </si>
  <si>
    <t>Mengetahui</t>
  </si>
  <si>
    <t>kepala Unit Simpan Pinjam</t>
  </si>
  <si>
    <t>Kepala unit Pengelolaan Gedung Serba Guna</t>
  </si>
  <si>
    <t>Deposito/PENJUALAN</t>
  </si>
  <si>
    <t>DAFTAR AKTIVA TETAP</t>
  </si>
  <si>
    <t>NAMA BARANG</t>
  </si>
  <si>
    <t>PENYUSUTAN</t>
  </si>
  <si>
    <t>TUTAL PENYUSUTAN</t>
  </si>
  <si>
    <t>TOTAL NILAI BUKU</t>
  </si>
  <si>
    <t>KETERANGAN</t>
  </si>
  <si>
    <t>KONDISI</t>
  </si>
  <si>
    <t>ASAL PENDAPATAN</t>
  </si>
  <si>
    <t>NILAI BELI / PENDAPATAN</t>
  </si>
  <si>
    <t>GEROBAK WARUNG</t>
  </si>
  <si>
    <t>BELI</t>
  </si>
  <si>
    <t>PEINTER</t>
  </si>
  <si>
    <t>TIMBANGAN</t>
  </si>
  <si>
    <t>dikelolah unit gedung</t>
  </si>
  <si>
    <t>dikelolah unit jasa PPOB</t>
  </si>
  <si>
    <t>Tanggal perolehan</t>
  </si>
  <si>
    <t>mei 2021</t>
  </si>
  <si>
    <t>beli</t>
  </si>
  <si>
    <t>Des. 2020</t>
  </si>
  <si>
    <t>Rusak</t>
  </si>
  <si>
    <t>Baik</t>
  </si>
  <si>
    <t>Biaya penyusutan Aktiva Tetap</t>
  </si>
  <si>
    <t>SALDO TAHUN LALU</t>
  </si>
  <si>
    <t>POSISI KEUANGAN</t>
  </si>
  <si>
    <t>Ketua BUMDES</t>
  </si>
  <si>
    <t>Bendahara BUMDES</t>
  </si>
  <si>
    <t>PENYETORAN KE PENGURUS BUMDES</t>
  </si>
  <si>
    <t>Penarikan Setoran dari Unit GSG</t>
  </si>
  <si>
    <t>Disetujui Oleh;</t>
  </si>
  <si>
    <t>Agstus '21</t>
  </si>
  <si>
    <t>TAGUN ANGGARAN</t>
  </si>
  <si>
    <t>TUTUP BUKU</t>
  </si>
  <si>
    <t>:</t>
  </si>
  <si>
    <t>" BAROKAH "</t>
  </si>
  <si>
    <t>DESA</t>
  </si>
  <si>
    <t>Ketua</t>
  </si>
  <si>
    <t>Sekretaris</t>
  </si>
  <si>
    <t>Bendahara</t>
  </si>
  <si>
    <t>TAHUN ANGGARAN 2022</t>
  </si>
  <si>
    <t>BADAN USAHA MILIK DESA</t>
  </si>
  <si>
    <t>DATA PEMILIK LAPAK</t>
  </si>
  <si>
    <t>NOMOR LAPAK</t>
  </si>
  <si>
    <t>NILAI KONTRAK</t>
  </si>
  <si>
    <t>NILAI BUKU</t>
  </si>
  <si>
    <r>
      <rPr>
        <sz val="12"/>
        <color rgb="FF2D2D2D"/>
        <rFont val="Arial"/>
        <family val="2"/>
      </rPr>
      <t>ONI</t>
    </r>
  </si>
  <si>
    <t>4-5-6</t>
  </si>
  <si>
    <r>
      <rPr>
        <sz val="12"/>
        <color rgb="FF212121"/>
        <rFont val="Arial"/>
        <family val="2"/>
      </rPr>
      <t>KABUL</t>
    </r>
  </si>
  <si>
    <t>10-11</t>
  </si>
  <si>
    <r>
      <rPr>
        <sz val="12"/>
        <color rgb="FF383838"/>
        <rFont val="Arial"/>
        <family val="2"/>
      </rPr>
      <t>GANO</t>
    </r>
  </si>
  <si>
    <t>15-16</t>
  </si>
  <si>
    <r>
      <rPr>
        <sz val="12"/>
        <color rgb="FF313131"/>
        <rFont val="Arial"/>
        <family val="2"/>
      </rPr>
      <t>DESI</t>
    </r>
  </si>
  <si>
    <r>
      <rPr>
        <sz val="12"/>
        <color rgb="FF2A2A2A"/>
        <rFont val="Arial"/>
        <family val="2"/>
      </rPr>
      <t>SARIMAN</t>
    </r>
  </si>
  <si>
    <r>
      <rPr>
        <sz val="12"/>
        <color rgb="FF262626"/>
        <rFont val="Arial"/>
        <family val="2"/>
      </rPr>
      <t>SUHARTIN</t>
    </r>
  </si>
  <si>
    <t>38-39</t>
  </si>
  <si>
    <r>
      <rPr>
        <sz val="12"/>
        <color rgb="FF383838"/>
        <rFont val="Arial"/>
        <family val="2"/>
      </rPr>
      <t>YULI</t>
    </r>
  </si>
  <si>
    <t>42</t>
  </si>
  <si>
    <r>
      <rPr>
        <sz val="12"/>
        <color rgb="FF282828"/>
        <rFont val="Arial"/>
        <family val="2"/>
      </rPr>
      <t>43-44</t>
    </r>
  </si>
  <si>
    <r>
      <rPr>
        <sz val="12"/>
        <color rgb="FF363636"/>
        <rFont val="Arial"/>
        <family val="2"/>
      </rPr>
      <t>KASTIN</t>
    </r>
  </si>
  <si>
    <t>45</t>
  </si>
  <si>
    <r>
      <rPr>
        <sz val="12"/>
        <color rgb="FF242424"/>
        <rFont val="Arial"/>
        <family val="2"/>
      </rPr>
      <t>KHOLIL</t>
    </r>
  </si>
  <si>
    <t>46-47</t>
  </si>
  <si>
    <t>SUPARMAN</t>
  </si>
  <si>
    <t>12</t>
  </si>
  <si>
    <r>
      <rPr>
        <sz val="12"/>
        <color rgb="FF343434"/>
        <rFont val="Arial"/>
        <family val="2"/>
      </rPr>
      <t xml:space="preserve">AGUS </t>
    </r>
    <r>
      <rPr>
        <sz val="12"/>
        <color rgb="FF2D2D2D"/>
        <rFont val="Arial"/>
        <family val="2"/>
      </rPr>
      <t>SUSANTO</t>
    </r>
  </si>
  <si>
    <t>1-2-3</t>
  </si>
  <si>
    <r>
      <rPr>
        <sz val="12"/>
        <color rgb="FF2A2A2A"/>
        <rFont val="Arial"/>
        <family val="2"/>
      </rPr>
      <t>WASIS</t>
    </r>
  </si>
  <si>
    <r>
      <rPr>
        <sz val="12"/>
        <color rgb="FF131313"/>
        <rFont val="Arial"/>
        <family val="2"/>
      </rPr>
      <t xml:space="preserve">SAMSUL </t>
    </r>
    <r>
      <rPr>
        <sz val="12"/>
        <color rgb="FF2B2B2B"/>
        <rFont val="Arial"/>
        <family val="2"/>
      </rPr>
      <t>ARIFIN</t>
    </r>
  </si>
  <si>
    <t>FEBRI</t>
  </si>
  <si>
    <t>9</t>
  </si>
  <si>
    <r>
      <rPr>
        <sz val="12"/>
        <color rgb="FF1F1F1F"/>
        <rFont val="Arial"/>
        <family val="2"/>
      </rPr>
      <t>SAMIADI</t>
    </r>
  </si>
  <si>
    <t>DENOK/ARIFIN</t>
  </si>
  <si>
    <t>-</t>
  </si>
  <si>
    <t>26</t>
  </si>
  <si>
    <r>
      <rPr>
        <sz val="12"/>
        <color rgb="FF212121"/>
        <rFont val="Arial"/>
        <family val="2"/>
      </rPr>
      <t>BUMDES</t>
    </r>
  </si>
  <si>
    <t>29-30-31-32</t>
  </si>
  <si>
    <t>YULIANTO</t>
  </si>
  <si>
    <t>35-36-37</t>
  </si>
  <si>
    <r>
      <rPr>
        <sz val="12"/>
        <color rgb="FF262626"/>
        <rFont val="Arial"/>
        <family val="2"/>
      </rPr>
      <t>PITA/EDI/WADUK</t>
    </r>
  </si>
  <si>
    <t>40-41</t>
  </si>
  <si>
    <t>SATUAN</t>
  </si>
  <si>
    <t>UNIT JASA LAPAK</t>
  </si>
  <si>
    <t>SUWONO</t>
  </si>
  <si>
    <r>
      <rPr>
        <sz val="12"/>
        <color rgb="FF2F2F2F"/>
        <rFont val="Arial"/>
        <family val="2"/>
      </rPr>
      <t>SIAMI</t>
    </r>
  </si>
  <si>
    <t>LUSTIYO YUNINGSIH</t>
  </si>
  <si>
    <r>
      <rPr>
        <sz val="12"/>
        <color rgb="FF262626"/>
        <rFont val="Arial"/>
        <family val="2"/>
      </rPr>
      <t>SUNAWI</t>
    </r>
  </si>
  <si>
    <r>
      <rPr>
        <sz val="12"/>
        <color rgb="FF2A2A2A"/>
        <rFont val="Arial"/>
        <family val="2"/>
      </rPr>
      <t>MUNJIROH</t>
    </r>
  </si>
  <si>
    <r>
      <rPr>
        <sz val="12"/>
        <color rgb="FF2F2F2F"/>
        <rFont val="Arial"/>
        <family val="2"/>
      </rPr>
      <t>SUMARMI</t>
    </r>
  </si>
  <si>
    <t>RISTAKUL JANAH</t>
  </si>
  <si>
    <t>PB. BABAL</t>
  </si>
  <si>
    <t>PB. SUKRO</t>
  </si>
  <si>
    <t>PB. KKMI</t>
  </si>
  <si>
    <t>PB. RSNU</t>
  </si>
  <si>
    <t>PB. SUMBER BIRU</t>
  </si>
  <si>
    <t>KAIN PEL</t>
  </si>
  <si>
    <t>PB. PRATAMA</t>
  </si>
  <si>
    <t>PULSA LISTRIK</t>
  </si>
  <si>
    <t>PB. GUPRU</t>
  </si>
  <si>
    <t>Rapat-Rapat</t>
  </si>
  <si>
    <t>Pendapatan Lain-lain</t>
  </si>
  <si>
    <t>PENYAMBUNGAN BARU 5500 WATT</t>
  </si>
  <si>
    <t>GARDU PANEL</t>
  </si>
  <si>
    <t>angsuran</t>
  </si>
  <si>
    <t>bunga</t>
  </si>
  <si>
    <t>admin</t>
  </si>
  <si>
    <t>tabungan</t>
  </si>
  <si>
    <t>jumlah</t>
  </si>
  <si>
    <t>L01</t>
  </si>
  <si>
    <t>L02</t>
  </si>
  <si>
    <t>L03</t>
  </si>
  <si>
    <t>L04</t>
  </si>
  <si>
    <t>L05</t>
  </si>
  <si>
    <t>L06</t>
  </si>
  <si>
    <t>L07</t>
  </si>
  <si>
    <t>L08</t>
  </si>
  <si>
    <t>L09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</si>
  <si>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</si>
  <si>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</si>
  <si>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</si>
  <si>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</si>
  <si>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</si>
  <si>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</si>
  <si>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</si>
  <si>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</si>
  <si>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</si>
  <si>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</si>
  <si>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</si>
  <si>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</si>
  <si>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</si>
  <si>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</si>
  <si>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HUTANG SEWA LAPAK</t>
  </si>
  <si>
    <r>
      <rPr>
        <sz val="12"/>
        <color rgb="FF2A2A2A"/>
        <rFont val="Arial"/>
        <family val="2"/>
      </rPr>
      <t>SUGIATI</t>
    </r>
  </si>
  <si>
    <r>
      <rPr>
        <sz val="12"/>
        <color rgb="FF383838"/>
        <rFont val="Arial"/>
        <family val="2"/>
      </rPr>
      <t>17-18</t>
    </r>
  </si>
  <si>
    <r>
      <rPr>
        <sz val="12"/>
        <color rgb="FF282828"/>
        <rFont val="Arial"/>
        <family val="2"/>
      </rPr>
      <t>23-24</t>
    </r>
  </si>
  <si>
    <r>
      <rPr>
        <sz val="12"/>
        <color rgb="FF282828"/>
        <rFont val="Arial"/>
        <family val="2"/>
      </rPr>
      <t>27-28</t>
    </r>
  </si>
  <si>
    <t>L24</t>
  </si>
  <si>
    <t>L25</t>
  </si>
  <si>
    <t>L26</t>
  </si>
  <si>
    <t>L27</t>
  </si>
  <si>
    <t>L28</t>
  </si>
  <si>
    <t>L29</t>
  </si>
  <si>
    <t>L30</t>
  </si>
  <si>
    <t>Nilai Pemakaian</t>
  </si>
  <si>
    <t>UNIT USAHA LAPAK UMKM</t>
  </si>
  <si>
    <t xml:space="preserve">PIUTANG KOMITMENT </t>
  </si>
  <si>
    <t>Piutang Komitment Sewa Lapak</t>
  </si>
  <si>
    <t>Pemetaan Lapak</t>
  </si>
  <si>
    <t>Belanja Lain-Lain</t>
  </si>
  <si>
    <t>ATK, Cetak dan Penggandaan</t>
  </si>
  <si>
    <t>TAHUN 2022</t>
  </si>
  <si>
    <t>Piutang Pihak Ke 3</t>
  </si>
  <si>
    <t>Gaji/Honor /Insentif Pegawai</t>
  </si>
  <si>
    <t>Foto Cop, Cetak dan ATK</t>
  </si>
  <si>
    <t>Setor Ke Bendahara BUMDES</t>
  </si>
  <si>
    <t>Hutang Bank/Pihak Ke-3 (sewa Lapak)</t>
  </si>
  <si>
    <t>Piutang Lapak</t>
  </si>
  <si>
    <t>KAS/BANK LAPAK</t>
  </si>
  <si>
    <t>Djayos/sami</t>
  </si>
  <si>
    <t>Endang</t>
  </si>
  <si>
    <t>Lilik Indayati</t>
  </si>
  <si>
    <t>Warsiti</t>
  </si>
  <si>
    <t>Pariyono</t>
  </si>
  <si>
    <t>LAPAK</t>
  </si>
  <si>
    <t>KAS/BANK PPOB</t>
  </si>
  <si>
    <t>Piutang Komitment</t>
  </si>
  <si>
    <t>Pendapatan Pengelolaan Lapak</t>
  </si>
  <si>
    <t>Pendapatan sumbangan</t>
  </si>
  <si>
    <t>lapak</t>
  </si>
  <si>
    <t>Kas</t>
  </si>
  <si>
    <t>Bank</t>
  </si>
  <si>
    <t>Modal Usaha Jasa SP</t>
  </si>
  <si>
    <t>TAHUN ANGGARAN 2023</t>
  </si>
  <si>
    <t>20-12-2023</t>
  </si>
  <si>
    <t>endang</t>
  </si>
  <si>
    <t>kamdani</t>
  </si>
  <si>
    <t>jasa pinjaman</t>
  </si>
  <si>
    <t>administrasi pinjaman</t>
  </si>
  <si>
    <t>budiono</t>
  </si>
  <si>
    <t>BUDIONO</t>
  </si>
  <si>
    <t>setoran dari lapak</t>
  </si>
  <si>
    <t>setoran dari gedung</t>
  </si>
  <si>
    <t>Perawatan Lain-Lain</t>
  </si>
  <si>
    <t>perlengkapan olah raga</t>
  </si>
  <si>
    <t>BON PAK BUDI</t>
  </si>
  <si>
    <t>PB. MAJU BERSAMA</t>
  </si>
  <si>
    <t>BELI LAMPU</t>
  </si>
  <si>
    <t>30/12/2023</t>
  </si>
  <si>
    <t>PB. RS BEDAH</t>
  </si>
  <si>
    <t>Piutang Tukang Kebun/Pengelolah</t>
  </si>
  <si>
    <t>BAYAR GAJI PAK BUDI 1 TAHUN</t>
  </si>
  <si>
    <t>Kas/Bank BUMDES</t>
  </si>
  <si>
    <t>MASUK 22</t>
  </si>
  <si>
    <t>MASUK 23</t>
  </si>
  <si>
    <t>setor ke BUMDES</t>
  </si>
  <si>
    <t>PIUTANG KOMITMEN</t>
  </si>
  <si>
    <t>HARTOYO / SUSILO</t>
  </si>
  <si>
    <t>BAIRUL SETIAWAN</t>
  </si>
  <si>
    <t>DODIK SUSANTO, S.Fil.I</t>
  </si>
  <si>
    <t>SADJI ABDULLAH</t>
  </si>
  <si>
    <t>Meja</t>
  </si>
  <si>
    <t>Perawatan Gedung</t>
  </si>
  <si>
    <t>Simpan Pinjam</t>
  </si>
  <si>
    <t>PENDAPATAN/SETORAN</t>
  </si>
  <si>
    <t>SETORAN DARI Simpan Pinjam</t>
  </si>
  <si>
    <t>gedung</t>
  </si>
  <si>
    <t>gapoktan</t>
  </si>
  <si>
    <t>Balongbesuk, 05 Januari 2023</t>
  </si>
  <si>
    <t>TABUNGAN TAHUN 2022</t>
  </si>
  <si>
    <t>Kepala unit Pengelolaan LAPAK</t>
  </si>
  <si>
    <t>TAHUN ANGGARAN 2024</t>
  </si>
  <si>
    <t>Balongbesuk, 15 Januari 2025</t>
  </si>
  <si>
    <t>PB. PLYWOOD</t>
  </si>
  <si>
    <t>RAPAT PLYWOOD</t>
  </si>
  <si>
    <t>PERLENGKAPAN KEBERSIHAN</t>
  </si>
  <si>
    <t xml:space="preserve">TOKEN LISTRIK </t>
  </si>
  <si>
    <t>PB. KUNANG</t>
  </si>
  <si>
    <t>PB. MTS</t>
  </si>
  <si>
    <t>ACARA BAPENDA</t>
  </si>
  <si>
    <t>TA 2024</t>
  </si>
  <si>
    <t>suparti</t>
  </si>
  <si>
    <t>bagus S</t>
  </si>
  <si>
    <t>warsiti</t>
  </si>
  <si>
    <t>Tahun 2024</t>
  </si>
  <si>
    <t>Penyaluran Pinjaman Masyarakat</t>
  </si>
  <si>
    <t>sampai Desember 2024</t>
  </si>
  <si>
    <t>PARIYONO</t>
  </si>
  <si>
    <t>WARSITI</t>
  </si>
  <si>
    <t>VIVI DIANA</t>
  </si>
  <si>
    <t>BAGUS S.</t>
  </si>
  <si>
    <t>GIYANTO</t>
  </si>
  <si>
    <t>Budiono</t>
  </si>
  <si>
    <t>P-065</t>
  </si>
  <si>
    <t>PAJAK TERHUTANG</t>
  </si>
  <si>
    <t>Penyetoran Pajak Terhutang</t>
  </si>
  <si>
    <t>HASIL USAHA 2024 (3)</t>
  </si>
  <si>
    <t>mamik</t>
  </si>
  <si>
    <t>Akumulasi Modal Tahun 2023</t>
  </si>
  <si>
    <t>S/D 31 DESEMBER 2025</t>
  </si>
  <si>
    <t>TA 2025</t>
  </si>
  <si>
    <t>TAHUN ANGGARAN 2025</t>
  </si>
  <si>
    <t>Saldo awal tahun 2025</t>
  </si>
  <si>
    <t>PB. GSG</t>
  </si>
  <si>
    <t>PB.BALBES</t>
  </si>
  <si>
    <t>WISUDA PKK</t>
  </si>
  <si>
    <t>PB. AWH</t>
  </si>
  <si>
    <t>PERBAIKAN TALANG</t>
  </si>
  <si>
    <t>KAOS GSG</t>
  </si>
  <si>
    <t>BELI KRAN</t>
  </si>
  <si>
    <t>30/01/2025</t>
  </si>
  <si>
    <t xml:space="preserve">SISA PEMBAYARAN HAJATAN </t>
  </si>
  <si>
    <t>PENDAPATAN TURNAMEN</t>
  </si>
  <si>
    <t>PB. BALBES</t>
  </si>
  <si>
    <t>PORSENI MI</t>
  </si>
  <si>
    <t>28-02-2025</t>
  </si>
  <si>
    <t>29/3/2025</t>
  </si>
  <si>
    <t>KOPERASI MEKAR</t>
  </si>
  <si>
    <t>KUAS CAT</t>
  </si>
  <si>
    <t>29/4/2025</t>
  </si>
  <si>
    <t>29/5/2025</t>
  </si>
  <si>
    <t>29/6/2025</t>
  </si>
  <si>
    <t>30/7/2025</t>
  </si>
  <si>
    <t>30/8/2025</t>
  </si>
  <si>
    <t>29/9/2025</t>
  </si>
  <si>
    <t>30/10/2025</t>
  </si>
  <si>
    <t>28/11/2025</t>
  </si>
  <si>
    <t>O2SN SD</t>
  </si>
  <si>
    <t>PB. PACULGOWANG</t>
  </si>
  <si>
    <t>PB. SMP DIWEK 2</t>
  </si>
  <si>
    <t>SEMINAR PAK DODIK</t>
  </si>
  <si>
    <t>PB. SMA AWH</t>
  </si>
  <si>
    <t>BELI ROUNDUP</t>
  </si>
  <si>
    <t>SALDO TAHUN LALU 2024</t>
  </si>
  <si>
    <t>PB. STIKES</t>
  </si>
  <si>
    <t>ACARA TK PERTIWI</t>
  </si>
  <si>
    <t>PB. SUMBERBIRU</t>
  </si>
  <si>
    <t>PB.RSNU</t>
  </si>
  <si>
    <t>SDQU DIWEK</t>
  </si>
  <si>
    <t>PB.KKMI</t>
  </si>
  <si>
    <t>ACARA TK KECAMATAN</t>
  </si>
  <si>
    <t>ONGKOS PERBAIKAN LISTRIK</t>
  </si>
  <si>
    <t>PERBAIKAN SOUND SISTEM</t>
  </si>
  <si>
    <t>DIPINJAM DESA</t>
  </si>
  <si>
    <t>PB. APING</t>
  </si>
  <si>
    <t>DESA BAYAR PINJAMAN</t>
  </si>
  <si>
    <t>PB.SUMBERBIRU</t>
  </si>
  <si>
    <t>ACARA KOPERASI MEKAR</t>
  </si>
  <si>
    <t>ACARA TRAVEL</t>
  </si>
  <si>
    <t>PB.BABAL</t>
  </si>
  <si>
    <t>PB. MQ</t>
  </si>
  <si>
    <t>BAYAR LISTRIK UNTUK 3 BULAN</t>
  </si>
  <si>
    <t>JASA PLN</t>
  </si>
  <si>
    <t>Saldo bulan  Juli</t>
  </si>
  <si>
    <t>PB. RS HASYIM ASYARI</t>
  </si>
  <si>
    <t>PB. MQ ALIYAH</t>
  </si>
  <si>
    <t>PB.MAJU BERSAMA</t>
  </si>
  <si>
    <t>PERBAIKAN SALON</t>
  </si>
  <si>
    <t>PERBAIKAN PINTU GESER</t>
  </si>
  <si>
    <t>PB. SMK DB</t>
  </si>
  <si>
    <t>PB.PRATAMA</t>
  </si>
  <si>
    <t>BELI LAMPU SOROT 2</t>
  </si>
  <si>
    <t>ONGKOS PASANG LAMPU SOROT</t>
  </si>
  <si>
    <t>PB. SMK KHOIRIYAH</t>
  </si>
  <si>
    <t>PB. SMP 3 JOMBANG</t>
  </si>
  <si>
    <t>ACRA KOPERASI MEKAR</t>
  </si>
  <si>
    <t>PB. RS HASYIM ASHARI</t>
  </si>
  <si>
    <t>ACARA HAJATAN</t>
  </si>
  <si>
    <t>BELI SUPER PEL</t>
  </si>
  <si>
    <t>ONGKOS PASANG LAMPU</t>
  </si>
  <si>
    <t>ONGKOS BUANG SAMPAH</t>
  </si>
  <si>
    <t>BELI LAMPU 8 BIJI</t>
  </si>
  <si>
    <t>LINMAS 2 @100.000</t>
  </si>
  <si>
    <t>KEBERSIHAN</t>
  </si>
  <si>
    <t>ACARA HAJATAN KHITAN</t>
  </si>
  <si>
    <t>UANG SEWA WARUNG BUMDES</t>
  </si>
  <si>
    <t>PEMBAYARAN BON PAK BUDI</t>
  </si>
  <si>
    <t>Insentif pengelolah Gedung 1 tahun</t>
  </si>
  <si>
    <t>Setor Ke pengurus BUMDES</t>
  </si>
  <si>
    <t>Balongbesuk 18 Pebruari 2025</t>
  </si>
  <si>
    <t>1/02/2025</t>
  </si>
  <si>
    <t>04- juni 2025</t>
  </si>
  <si>
    <t>21- Agustus 2025</t>
  </si>
  <si>
    <t>1- seeptember 2025</t>
  </si>
  <si>
    <t>21-Agustus- 2025</t>
  </si>
  <si>
    <t>6- seeptember 2025</t>
  </si>
  <si>
    <t>11- seeptember 2025</t>
  </si>
  <si>
    <t>18-10-2025</t>
  </si>
  <si>
    <t>SUGIATI</t>
  </si>
  <si>
    <t>pendapatan sewa lapak 25 (tahun 2024)</t>
  </si>
  <si>
    <t>pendapatan sewa lapakH. Abd Hamid Muzaki</t>
  </si>
  <si>
    <t>H. Abd Hamid Muzaki</t>
  </si>
  <si>
    <t>7/Maret/2025</t>
  </si>
  <si>
    <t>20/Maret/2025</t>
  </si>
  <si>
    <t>Dodik</t>
  </si>
  <si>
    <t>Pendapatan Sewa Lapak 43, 44</t>
  </si>
  <si>
    <t xml:space="preserve">Pendapatan Sewa Lapak 13, </t>
  </si>
  <si>
    <t>SUSILO</t>
  </si>
  <si>
    <t>Biaya Study Banding Ke tambakrejo</t>
  </si>
  <si>
    <t>Pendapatan sewa laapak 1,2, 3</t>
  </si>
  <si>
    <t>MUNJIROH</t>
  </si>
  <si>
    <t>DODIK</t>
  </si>
  <si>
    <t>Pendapatan sewa lapak 27, 28  (tahun 2024)</t>
  </si>
  <si>
    <t>Pendapatan sewa lapak 20 (tahun 2024)</t>
  </si>
  <si>
    <t>RISTAKUL J</t>
  </si>
  <si>
    <t>Pendapatan sewa lapak 23, 24  (tahun KEDUA)</t>
  </si>
  <si>
    <t>ABD. HAMID</t>
  </si>
  <si>
    <t>Mamik</t>
  </si>
  <si>
    <t>Arifin</t>
  </si>
  <si>
    <t>Pendapatan sewa lapak 11,  12 (tahun ke 2)</t>
  </si>
  <si>
    <t>es batu</t>
  </si>
  <si>
    <t xml:space="preserve">Pendapatan sewa lapak 4, 5 </t>
  </si>
  <si>
    <t>DODIK B</t>
  </si>
  <si>
    <t>EKA F</t>
  </si>
  <si>
    <t xml:space="preserve">Pendapatan sewa lapak 35, 36, 37 </t>
  </si>
  <si>
    <t>INSENTIF Pengelolah LapaK</t>
  </si>
  <si>
    <t>PemaSangan Meteran Listrik Balong</t>
  </si>
  <si>
    <t>Listrik Mbah Balong</t>
  </si>
  <si>
    <t>Balong</t>
  </si>
  <si>
    <t>30-03-2025</t>
  </si>
  <si>
    <t>30-04-2025</t>
  </si>
  <si>
    <t>30-05-2025</t>
  </si>
  <si>
    <t>30-07-2025</t>
  </si>
  <si>
    <t>30-08-2025</t>
  </si>
  <si>
    <t>Pembagian SHU 2025 Pengurus</t>
  </si>
  <si>
    <t>Pembagian SHU 2025 Pengawas</t>
  </si>
  <si>
    <t>Pembagian SHU 2025 Desa</t>
  </si>
  <si>
    <t>30-10-2025</t>
  </si>
  <si>
    <t>30-11-2025</t>
  </si>
  <si>
    <t>16/12/2025</t>
  </si>
  <si>
    <t>PPOB</t>
  </si>
  <si>
    <t>pendapatan laba PPOB</t>
  </si>
  <si>
    <t>23-12-2025</t>
  </si>
  <si>
    <t>setor ke bank</t>
  </si>
  <si>
    <t>22-12-2025</t>
  </si>
  <si>
    <t>Pembelian Lampu</t>
  </si>
  <si>
    <t>Transportasi study tiru ke tambakberas</t>
  </si>
  <si>
    <t>Biaya Konsumsi koordinasi</t>
  </si>
  <si>
    <t>Biaya foto Copy</t>
  </si>
  <si>
    <t>Transportasi Pelatihan</t>
  </si>
  <si>
    <t>SISA TABUNGAN</t>
  </si>
  <si>
    <t>PIUTANG THN 2024</t>
  </si>
  <si>
    <t>Tahun 2025</t>
  </si>
  <si>
    <t>23/05/2025</t>
  </si>
  <si>
    <t>20-11-2025</t>
  </si>
  <si>
    <t>20/05/2025</t>
  </si>
  <si>
    <t>Anwar</t>
  </si>
  <si>
    <t>priyo kustanto</t>
  </si>
  <si>
    <t>kuswinarti</t>
  </si>
  <si>
    <t>siti nur afifah</t>
  </si>
  <si>
    <t>siti djayanti</t>
  </si>
  <si>
    <t>hari bayudi</t>
  </si>
  <si>
    <t>lilik indayani</t>
  </si>
  <si>
    <t>ilham handrik</t>
  </si>
  <si>
    <t>M. arifin</t>
  </si>
  <si>
    <t>Gapoktan</t>
  </si>
  <si>
    <t>Angsuran Pinjaman Gapoktan</t>
  </si>
  <si>
    <t>Penyaluran Pinjaman</t>
  </si>
  <si>
    <t>pencairan simpanan pokok</t>
  </si>
  <si>
    <t>pencairan simpanan wajib</t>
  </si>
  <si>
    <t>Biaya Konsumsi Koordinasi</t>
  </si>
  <si>
    <t>Penyertaan Modal Desa program KP</t>
  </si>
  <si>
    <t>19-12-2025</t>
  </si>
  <si>
    <t>Penyertaan Modal Desa</t>
  </si>
  <si>
    <t>Hasil Usaha</t>
  </si>
  <si>
    <t xml:space="preserve">Akumulasi Modal awal tahun </t>
  </si>
  <si>
    <t>Januari 2025</t>
  </si>
  <si>
    <t>Pebruari 2025</t>
  </si>
  <si>
    <t>Maret 2025</t>
  </si>
  <si>
    <t>April 2025</t>
  </si>
  <si>
    <t>Mei 2025</t>
  </si>
  <si>
    <t>Juni 2025</t>
  </si>
  <si>
    <t>Juli 2025</t>
  </si>
  <si>
    <t>Agustus 2025</t>
  </si>
  <si>
    <t>September 2025</t>
  </si>
  <si>
    <t>Oktober 2025</t>
  </si>
  <si>
    <t>Nopember 2025</t>
  </si>
  <si>
    <t>Desember 2025</t>
  </si>
  <si>
    <t>Koreksi laporan tahun 2024</t>
  </si>
  <si>
    <t>Pembulatan SHU</t>
  </si>
  <si>
    <t>Pajak Terhutang tahun 2025</t>
  </si>
  <si>
    <t>31 - DESEMBER 2025</t>
  </si>
  <si>
    <t>s/d Desember 2025</t>
  </si>
  <si>
    <t>PIUTANG THN LALU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</si>
</sst>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(* #,##0.00_);_(* \(#,##0.00\);_(* &quot;-&quot;_);_(@_)"/>
    <numFmt numFmtId="166" formatCode="_-* #,##0_-;\-* #,##0_-;_-* &quot;-&quot;_-;_-@_-"/>
    <numFmt numFmtId="167" formatCode="_-* #,##0.00_-;\-* #,##0.00_-;_-* &quot;-&quot;_-;_-@_-"/>
    <numFmt numFmtId="168" formatCode="_-&quot;Rp&quot;* #,##0.00_-;\-&quot;Rp&quot;* #,##0.00_-;_-&quot;Rp&quot;* &quot;-&quot;??_-;_-@_-"/>
    <numFmt numFmtId="169" formatCode="_(* #,##0.000_);_(* \(#,##0.000\);_(* &quot;-&quot;???_);_(@_)"/>
    <numFmt numFmtId="173" formatCode="_(* #,##0.000000_);_(* \(#,##0.000000\);_(* &quot;-&quot;??_);_(@_)"/>
  </numFmts>
  <fonts count="86" x14ac:knownFonts="1">
    <font>
      <sz val="11"/>
      <name val="Calibri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5"/>
      <color rgb="FF000000"/>
      <name val="Calibri"/>
      <family val="2"/>
    </font>
    <font>
      <sz val="11"/>
      <name val="Calibri"/>
      <family val="2"/>
    </font>
    <font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u/>
      <sz val="14"/>
      <name val="Calibri"/>
      <family val="2"/>
    </font>
    <font>
      <b/>
      <sz val="14"/>
      <color rgb="FF000000"/>
      <name val="Calibri"/>
      <family val="2"/>
    </font>
    <font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b/>
      <u val="singleAccounting"/>
      <sz val="11"/>
      <color rgb="FF000000"/>
      <name val="Calibri"/>
      <family val="2"/>
    </font>
    <font>
      <b/>
      <u/>
      <sz val="15"/>
      <color rgb="FF000000"/>
      <name val="Calibri"/>
      <family val="2"/>
    </font>
    <font>
      <b/>
      <sz val="11"/>
      <name val="Calibri"/>
      <family val="2"/>
    </font>
    <font>
      <b/>
      <i/>
      <sz val="11"/>
      <color rgb="FF000000"/>
      <name val="Calibri"/>
      <family val="2"/>
    </font>
    <font>
      <sz val="11"/>
      <color rgb="FF000000"/>
      <name val="Times New Roman"/>
      <family val="1"/>
    </font>
    <font>
      <sz val="11"/>
      <color rgb="FF002060"/>
      <name val="Calibri"/>
      <family val="2"/>
    </font>
    <font>
      <sz val="11"/>
      <color rgb="FF000000"/>
      <name val="Times New Roman"/>
      <family val="1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0"/>
      <color rgb="FF000000"/>
      <name val="Calibri"/>
      <family val="2"/>
    </font>
    <font>
      <i/>
      <sz val="11"/>
      <color rgb="FF000000"/>
      <name val="Calibri"/>
      <family val="2"/>
    </font>
    <font>
      <i/>
      <sz val="10"/>
      <color rgb="FF000000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Times New Roman"/>
      <family val="1"/>
    </font>
    <font>
      <sz val="11"/>
      <name val="Calibri"/>
      <family val="2"/>
    </font>
    <font>
      <b/>
      <sz val="11"/>
      <name val="Calibri"/>
      <family val="2"/>
    </font>
    <font>
      <b/>
      <u/>
      <sz val="11"/>
      <name val="Calibri"/>
      <family val="2"/>
    </font>
    <font>
      <sz val="11"/>
      <color theme="0"/>
      <name val="Calibri"/>
      <family val="2"/>
    </font>
    <font>
      <b/>
      <u/>
      <sz val="11"/>
      <color rgb="FF000000"/>
      <name val="Calibri"/>
      <family val="2"/>
    </font>
    <font>
      <b/>
      <u val="singleAccounting"/>
      <sz val="11"/>
      <name val="Calibri"/>
      <family val="2"/>
    </font>
    <font>
      <u val="singleAccounting"/>
      <sz val="11"/>
      <color rgb="FF000000"/>
      <name val="Calibri"/>
      <family val="2"/>
    </font>
    <font>
      <b/>
      <sz val="13"/>
      <name val="Calibri"/>
      <family val="2"/>
    </font>
    <font>
      <b/>
      <sz val="18"/>
      <name val="Calibri"/>
      <family val="2"/>
    </font>
    <font>
      <b/>
      <sz val="12"/>
      <name val="Calibri"/>
      <family val="2"/>
    </font>
    <font>
      <sz val="12"/>
      <color rgb="FF3B3B3B"/>
      <name val="Arial"/>
      <family val="2"/>
    </font>
    <font>
      <sz val="12"/>
      <name val="Arial"/>
      <family val="2"/>
    </font>
    <font>
      <sz val="12"/>
      <color rgb="FF2D2D2D"/>
      <name val="Arial"/>
      <family val="2"/>
    </font>
    <font>
      <sz val="12"/>
      <color rgb="FF212121"/>
      <name val="Arial"/>
      <family val="2"/>
    </font>
    <font>
      <sz val="12"/>
      <color rgb="FF383838"/>
      <name val="Arial"/>
      <family val="2"/>
    </font>
    <font>
      <sz val="12"/>
      <color rgb="FF363636"/>
      <name val="Arial"/>
      <family val="2"/>
    </font>
    <font>
      <sz val="12"/>
      <color rgb="FF313131"/>
      <name val="Arial"/>
      <family val="2"/>
    </font>
    <font>
      <sz val="12"/>
      <color rgb="FF2F2F2F"/>
      <name val="Arial"/>
      <family val="2"/>
    </font>
    <font>
      <sz val="12"/>
      <color rgb="FF2A2A2A"/>
      <name val="Arial"/>
      <family val="2"/>
    </font>
    <font>
      <sz val="12"/>
      <color rgb="FF3F3F3F"/>
      <name val="Arial"/>
      <family val="2"/>
    </font>
    <font>
      <sz val="12"/>
      <color rgb="FF262626"/>
      <name val="Arial"/>
      <family val="2"/>
    </font>
    <font>
      <sz val="12"/>
      <color rgb="FF242424"/>
      <name val="Arial"/>
      <family val="2"/>
    </font>
    <font>
      <sz val="12"/>
      <color rgb="FF343434"/>
      <name val="Arial"/>
      <family val="2"/>
    </font>
    <font>
      <sz val="12"/>
      <color rgb="FF1F1F1F"/>
      <name val="Arial"/>
      <family val="2"/>
    </font>
    <font>
      <sz val="12"/>
      <color rgb="FF282828"/>
      <name val="Arial"/>
      <family val="2"/>
    </font>
    <font>
      <sz val="12"/>
      <color rgb="FF232323"/>
      <name val="Arial"/>
      <family val="2"/>
    </font>
    <font>
      <sz val="12"/>
      <color rgb="FF131313"/>
      <name val="Arial"/>
      <family val="2"/>
    </font>
    <font>
      <sz val="12"/>
      <color rgb="FF2B2B2B"/>
      <name val="Arial"/>
      <family val="2"/>
    </font>
    <font>
      <sz val="12"/>
      <color theme="1"/>
      <name val="Calibri"/>
      <family val="2"/>
      <scheme val="minor"/>
    </font>
    <font>
      <sz val="11"/>
      <color rgb="FF4F4D52"/>
      <name val="Arial"/>
      <family val="2"/>
    </font>
    <font>
      <sz val="11"/>
      <name val="Calibri"/>
    </font>
    <font>
      <sz val="11"/>
      <color rgb="FF000000"/>
      <name val="Calibri"/>
      <family val="2"/>
      <charset val="204"/>
    </font>
    <font>
      <b/>
      <sz val="12"/>
      <name val="Arial"/>
      <family val="2"/>
    </font>
    <font>
      <b/>
      <u/>
      <sz val="16"/>
      <name val="Calibri"/>
      <family val="2"/>
    </font>
    <font>
      <sz val="8"/>
      <color rgb="FF000000"/>
      <name val="Calibri"/>
      <family val="2"/>
    </font>
    <font>
      <b/>
      <u/>
      <sz val="8"/>
      <color rgb="FF000000"/>
      <name val="Calibri"/>
      <family val="2"/>
    </font>
    <font>
      <b/>
      <sz val="16"/>
      <color rgb="FF000000"/>
      <name val="Calibri"/>
      <family val="2"/>
    </font>
    <font>
      <sz val="10.9"/>
      <color rgb="FF000000"/>
      <name val="Calibri"/>
      <family val="2"/>
    </font>
    <font>
      <sz val="10"/>
      <name val="Calibri"/>
      <family val="2"/>
    </font>
    <font>
      <u/>
      <sz val="11"/>
      <color rgb="FF000000"/>
      <name val="Calibri"/>
      <family val="2"/>
    </font>
    <font>
      <sz val="12"/>
      <color rgb="FFFF0000"/>
      <name val="Calibri"/>
      <family val="2"/>
    </font>
    <font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2"/>
      <name val="Times New Roman"/>
      <family val="1"/>
    </font>
    <font>
      <sz val="12"/>
      <color rgb="FF262626"/>
      <name val="Times New Roman"/>
      <family val="1"/>
    </font>
    <font>
      <sz val="12"/>
      <color rgb="FF232323"/>
      <name val="Times New Roman"/>
      <family val="1"/>
    </font>
    <font>
      <sz val="12"/>
      <color rgb="FF3B3B3B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1"/>
      <color rgb="FFFF0000"/>
      <name val="Times New Roman"/>
      <family val="1"/>
    </font>
    <font>
      <b/>
      <sz val="14"/>
      <name val="Calibri"/>
      <family val="2"/>
    </font>
    <font>
      <i/>
      <sz val="10"/>
      <name val="Calibri"/>
      <family val="2"/>
    </font>
    <font>
      <i/>
      <sz val="11"/>
      <name val="Calibri"/>
      <family val="2"/>
    </font>
    <font>
      <sz val="9"/>
      <color rgb="FF000000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41" fontId="25" fillId="0" borderId="0">
      <protection locked="0"/>
    </xf>
    <xf numFmtId="43" fontId="25" fillId="0" borderId="0">
      <protection locked="0"/>
    </xf>
    <xf numFmtId="166" fontId="25" fillId="0" borderId="0">
      <protection locked="0"/>
    </xf>
    <xf numFmtId="0" fontId="19" fillId="0" borderId="0">
      <protection locked="0"/>
    </xf>
    <xf numFmtId="43" fontId="19" fillId="0" borderId="0">
      <protection locked="0"/>
    </xf>
    <xf numFmtId="9" fontId="19" fillId="0" borderId="0">
      <protection locked="0"/>
    </xf>
    <xf numFmtId="41" fontId="19" fillId="0" borderId="0">
      <protection locked="0"/>
    </xf>
    <xf numFmtId="9" fontId="60" fillId="0" borderId="0" applyFont="0" applyFill="0" applyBorder="0" applyAlignment="0" applyProtection="0"/>
    <xf numFmtId="0" fontId="61" fillId="0" borderId="0"/>
    <xf numFmtId="168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65">
    <xf numFmtId="0" fontId="0" fillId="0" borderId="0" xfId="0">
      <alignment vertical="center"/>
    </xf>
    <xf numFmtId="41" fontId="2" fillId="0" borderId="0" xfId="1" applyFont="1" applyAlignment="1" applyProtection="1"/>
    <xf numFmtId="0" fontId="3" fillId="0" borderId="0" xfId="0" applyFont="1" applyAlignment="1"/>
    <xf numFmtId="41" fontId="2" fillId="0" borderId="1" xfId="1" applyFont="1" applyBorder="1" applyAlignment="1" applyProtection="1">
      <alignment vertical="center"/>
    </xf>
    <xf numFmtId="0" fontId="2" fillId="0" borderId="1" xfId="0" applyFont="1" applyBorder="1" applyAlignment="1"/>
    <xf numFmtId="41" fontId="2" fillId="0" borderId="1" xfId="1" applyFont="1" applyBorder="1" applyAlignment="1" applyProtection="1"/>
    <xf numFmtId="0" fontId="2" fillId="0" borderId="1" xfId="0" applyFont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2" fillId="0" borderId="0" xfId="0" applyFont="1" applyFill="1" applyAlignment="1"/>
    <xf numFmtId="0" fontId="2" fillId="0" borderId="1" xfId="0" applyFont="1" applyFill="1" applyBorder="1" applyAlignment="1"/>
    <xf numFmtId="41" fontId="2" fillId="0" borderId="1" xfId="1" applyFont="1" applyFill="1" applyBorder="1" applyAlignment="1" applyProtection="1"/>
    <xf numFmtId="0" fontId="4" fillId="0" borderId="1" xfId="0" applyFont="1" applyFill="1" applyBorder="1" applyAlignment="1"/>
    <xf numFmtId="41" fontId="2" fillId="2" borderId="1" xfId="1" applyFont="1" applyFill="1" applyBorder="1" applyAlignment="1" applyProtection="1"/>
    <xf numFmtId="0" fontId="2" fillId="2" borderId="1" xfId="0" applyFont="1" applyFill="1" applyBorder="1" applyAlignment="1"/>
    <xf numFmtId="41" fontId="2" fillId="0" borderId="0" xfId="0" applyNumberFormat="1" applyFont="1" applyAlignment="1"/>
    <xf numFmtId="41" fontId="6" fillId="0" borderId="0" xfId="1" applyFont="1" applyAlignment="1" applyProtection="1"/>
    <xf numFmtId="41" fontId="6" fillId="0" borderId="0" xfId="0" applyNumberFormat="1" applyFont="1" applyAlignment="1"/>
    <xf numFmtId="0" fontId="8" fillId="0" borderId="4" xfId="0" applyFont="1" applyBorder="1" applyAlignment="1">
      <alignment horizontal="center" vertical="center" wrapText="1"/>
    </xf>
    <xf numFmtId="41" fontId="8" fillId="0" borderId="4" xfId="1" applyFont="1" applyBorder="1" applyAlignment="1" applyProtection="1">
      <alignment horizontal="center" vertical="center" wrapText="1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/>
    <xf numFmtId="41" fontId="2" fillId="0" borderId="5" xfId="1" applyFont="1" applyBorder="1" applyAlignment="1" applyProtection="1"/>
    <xf numFmtId="0" fontId="2" fillId="0" borderId="4" xfId="0" applyFont="1" applyBorder="1" applyAlignment="1"/>
    <xf numFmtId="0" fontId="10" fillId="0" borderId="0" xfId="0" applyFont="1" applyAlignment="1"/>
    <xf numFmtId="41" fontId="11" fillId="0" borderId="0" xfId="1" applyFont="1" applyAlignment="1" applyProtection="1"/>
    <xf numFmtId="0" fontId="8" fillId="0" borderId="0" xfId="0" applyFont="1" applyAlignment="1"/>
    <xf numFmtId="41" fontId="8" fillId="0" borderId="0" xfId="1" applyFont="1" applyAlignment="1" applyProtection="1"/>
    <xf numFmtId="165" fontId="6" fillId="0" borderId="0" xfId="1" applyNumberFormat="1" applyFont="1" applyAlignment="1" applyProtection="1"/>
    <xf numFmtId="0" fontId="12" fillId="0" borderId="0" xfId="0" applyFont="1" applyAlignment="1"/>
    <xf numFmtId="0" fontId="6" fillId="0" borderId="0" xfId="0" applyFont="1" applyAlignment="1"/>
    <xf numFmtId="0" fontId="6" fillId="0" borderId="0" xfId="0" applyFont="1" applyAlignment="1">
      <alignment horizontal="center"/>
    </xf>
    <xf numFmtId="41" fontId="6" fillId="3" borderId="1" xfId="1" applyFont="1" applyFill="1" applyBorder="1" applyAlignment="1" applyProtection="1">
      <alignment horizontal="center" vertical="center"/>
    </xf>
    <xf numFmtId="165" fontId="6" fillId="0" borderId="1" xfId="1" applyNumberFormat="1" applyFont="1" applyBorder="1" applyAlignment="1" applyProtection="1">
      <alignment horizontal="center" vertical="center"/>
    </xf>
    <xf numFmtId="0" fontId="6" fillId="0" borderId="1" xfId="0" applyFont="1" applyBorder="1" applyAlignment="1"/>
    <xf numFmtId="43" fontId="6" fillId="0" borderId="1" xfId="2" applyFont="1" applyBorder="1" applyAlignment="1" applyProtection="1"/>
    <xf numFmtId="165" fontId="6" fillId="0" borderId="1" xfId="1" applyNumberFormat="1" applyFont="1" applyBorder="1" applyAlignment="1" applyProtection="1"/>
    <xf numFmtId="0" fontId="4" fillId="0" borderId="0" xfId="0" applyFont="1" applyAlignment="1"/>
    <xf numFmtId="0" fontId="4" fillId="0" borderId="1" xfId="0" applyFont="1" applyBorder="1" applyAlignment="1"/>
    <xf numFmtId="0" fontId="4" fillId="0" borderId="1" xfId="0" applyFont="1" applyBorder="1" applyAlignment="1">
      <alignment horizontal="left" indent="1"/>
    </xf>
    <xf numFmtId="43" fontId="4" fillId="0" borderId="1" xfId="2" applyFont="1" applyBorder="1" applyAlignment="1" applyProtection="1"/>
    <xf numFmtId="165" fontId="13" fillId="0" borderId="1" xfId="1" applyNumberFormat="1" applyFont="1" applyBorder="1" applyAlignment="1" applyProtection="1"/>
    <xf numFmtId="0" fontId="2" fillId="0" borderId="1" xfId="0" applyFont="1" applyBorder="1" applyAlignment="1">
      <alignment horizontal="left" indent="1"/>
    </xf>
    <xf numFmtId="43" fontId="2" fillId="0" borderId="0" xfId="0" applyNumberFormat="1" applyFont="1" applyAlignment="1"/>
    <xf numFmtId="43" fontId="2" fillId="0" borderId="1" xfId="2" applyFont="1" applyBorder="1" applyAlignment="1" applyProtection="1"/>
    <xf numFmtId="41" fontId="13" fillId="0" borderId="0" xfId="1" applyFont="1" applyFill="1" applyAlignment="1" applyProtection="1"/>
    <xf numFmtId="0" fontId="2" fillId="0" borderId="1" xfId="0" applyFont="1" applyBorder="1" applyAlignment="1">
      <alignment horizontal="right"/>
    </xf>
    <xf numFmtId="0" fontId="2" fillId="0" borderId="7" xfId="0" applyFont="1" applyBorder="1" applyAlignment="1"/>
    <xf numFmtId="43" fontId="13" fillId="0" borderId="7" xfId="2" applyFont="1" applyBorder="1" applyAlignment="1" applyProtection="1"/>
    <xf numFmtId="0" fontId="6" fillId="4" borderId="1" xfId="0" applyFont="1" applyFill="1" applyBorder="1" applyAlignment="1"/>
    <xf numFmtId="43" fontId="13" fillId="4" borderId="1" xfId="2" applyFont="1" applyFill="1" applyBorder="1" applyAlignment="1" applyProtection="1"/>
    <xf numFmtId="165" fontId="13" fillId="4" borderId="1" xfId="1" applyNumberFormat="1" applyFont="1" applyFill="1" applyBorder="1" applyAlignment="1" applyProtection="1"/>
    <xf numFmtId="0" fontId="14" fillId="0" borderId="0" xfId="0" applyFont="1" applyAlignment="1"/>
    <xf numFmtId="0" fontId="14" fillId="0" borderId="1" xfId="0" applyFont="1" applyBorder="1" applyAlignment="1"/>
    <xf numFmtId="0" fontId="14" fillId="0" borderId="1" xfId="0" applyFont="1" applyBorder="1" applyAlignment="1">
      <alignment horizontal="left" indent="1"/>
    </xf>
    <xf numFmtId="43" fontId="14" fillId="0" borderId="1" xfId="2" applyFont="1" applyBorder="1" applyAlignment="1" applyProtection="1"/>
    <xf numFmtId="165" fontId="14" fillId="0" borderId="1" xfId="1" applyNumberFormat="1" applyFont="1" applyBorder="1" applyAlignment="1" applyProtection="1"/>
    <xf numFmtId="0" fontId="2" fillId="0" borderId="1" xfId="0" applyFont="1" applyBorder="1" applyAlignment="1">
      <alignment horizontal="left" indent="2"/>
    </xf>
    <xf numFmtId="0" fontId="6" fillId="4" borderId="1" xfId="0" applyFont="1" applyFill="1" applyBorder="1" applyAlignment="1">
      <alignment horizontal="left" indent="2"/>
    </xf>
    <xf numFmtId="43" fontId="6" fillId="4" borderId="1" xfId="2" applyFont="1" applyFill="1" applyBorder="1" applyAlignment="1" applyProtection="1"/>
    <xf numFmtId="165" fontId="6" fillId="4" borderId="1" xfId="1" applyNumberFormat="1" applyFont="1" applyFill="1" applyBorder="1" applyAlignment="1" applyProtection="1"/>
    <xf numFmtId="0" fontId="2" fillId="4" borderId="1" xfId="0" applyFont="1" applyFill="1" applyBorder="1" applyAlignment="1"/>
    <xf numFmtId="43" fontId="2" fillId="0" borderId="1" xfId="0" applyNumberFormat="1" applyFont="1" applyBorder="1" applyAlignment="1"/>
    <xf numFmtId="43" fontId="6" fillId="0" borderId="1" xfId="0" applyNumberFormat="1" applyFont="1" applyBorder="1" applyAlignment="1"/>
    <xf numFmtId="43" fontId="6" fillId="0" borderId="0" xfId="0" applyNumberFormat="1" applyFont="1" applyAlignment="1"/>
    <xf numFmtId="0" fontId="6" fillId="0" borderId="0" xfId="0" applyFont="1">
      <alignment vertical="center"/>
    </xf>
    <xf numFmtId="43" fontId="6" fillId="0" borderId="0" xfId="0" applyNumberFormat="1" applyFont="1">
      <alignment vertical="center"/>
    </xf>
    <xf numFmtId="43" fontId="2" fillId="0" borderId="9" xfId="0" applyNumberFormat="1" applyFont="1" applyBorder="1" applyAlignment="1"/>
    <xf numFmtId="0" fontId="2" fillId="0" borderId="0" xfId="0" applyFont="1" applyAlignment="1">
      <alignment horizontal="left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left" vertical="center"/>
    </xf>
    <xf numFmtId="0" fontId="2" fillId="5" borderId="6" xfId="0" applyFont="1" applyFill="1" applyBorder="1" applyAlignment="1">
      <alignment horizontal="center" vertical="center"/>
    </xf>
    <xf numFmtId="41" fontId="2" fillId="5" borderId="6" xfId="1" applyFont="1" applyFill="1" applyBorder="1" applyAlignment="1" applyProtection="1">
      <alignment vertical="center"/>
    </xf>
    <xf numFmtId="0" fontId="2" fillId="5" borderId="6" xfId="0" applyFont="1" applyFill="1" applyBorder="1">
      <alignment vertical="center"/>
    </xf>
    <xf numFmtId="14" fontId="2" fillId="0" borderId="1" xfId="0" quotePrefix="1" applyNumberFormat="1" applyFont="1" applyFill="1" applyBorder="1" applyAlignment="1"/>
    <xf numFmtId="0" fontId="2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wrapText="1"/>
    </xf>
    <xf numFmtId="166" fontId="2" fillId="0" borderId="1" xfId="3" applyFont="1" applyFill="1" applyBorder="1" applyAlignment="1" applyProtection="1"/>
    <xf numFmtId="14" fontId="15" fillId="0" borderId="1" xfId="0" applyNumberFormat="1" applyFont="1" applyFill="1" applyBorder="1" applyAlignment="1"/>
    <xf numFmtId="166" fontId="16" fillId="0" borderId="1" xfId="3" applyFont="1" applyFill="1" applyBorder="1" applyAlignment="1" applyProtection="1"/>
    <xf numFmtId="43" fontId="2" fillId="0" borderId="1" xfId="2" applyFont="1" applyFill="1" applyBorder="1" applyAlignment="1" applyProtection="1"/>
    <xf numFmtId="166" fontId="2" fillId="0" borderId="1" xfId="0" applyNumberFormat="1" applyFont="1" applyFill="1" applyBorder="1" applyAlignment="1"/>
    <xf numFmtId="41" fontId="2" fillId="0" borderId="1" xfId="3" applyNumberFormat="1" applyFont="1" applyFill="1" applyBorder="1" applyAlignment="1" applyProtection="1"/>
    <xf numFmtId="0" fontId="2" fillId="6" borderId="1" xfId="0" applyFont="1" applyFill="1" applyBorder="1" applyAlignment="1"/>
    <xf numFmtId="0" fontId="2" fillId="6" borderId="1" xfId="0" applyFont="1" applyFill="1" applyBorder="1" applyAlignment="1">
      <alignment horizontal="left"/>
    </xf>
    <xf numFmtId="0" fontId="4" fillId="6" borderId="1" xfId="0" applyFont="1" applyFill="1" applyBorder="1" applyAlignment="1">
      <alignment wrapText="1"/>
    </xf>
    <xf numFmtId="41" fontId="2" fillId="6" borderId="1" xfId="1" applyFont="1" applyFill="1" applyBorder="1" applyAlignment="1" applyProtection="1"/>
    <xf numFmtId="166" fontId="2" fillId="6" borderId="1" xfId="0" applyNumberFormat="1" applyFont="1" applyFill="1" applyBorder="1" applyAlignment="1"/>
    <xf numFmtId="0" fontId="2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left" vertical="center"/>
    </xf>
    <xf numFmtId="0" fontId="2" fillId="6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/>
    </xf>
    <xf numFmtId="0" fontId="4" fillId="0" borderId="5" xfId="0" applyFont="1" applyBorder="1" applyAlignment="1">
      <alignment wrapText="1"/>
    </xf>
    <xf numFmtId="166" fontId="2" fillId="0" borderId="5" xfId="3" applyFont="1" applyBorder="1" applyAlignment="1" applyProtection="1"/>
    <xf numFmtId="0" fontId="2" fillId="0" borderId="1" xfId="0" applyFont="1" applyBorder="1" applyAlignment="1"/>
    <xf numFmtId="166" fontId="2" fillId="0" borderId="1" xfId="3" applyFont="1" applyBorder="1" applyAlignment="1" applyProtection="1"/>
    <xf numFmtId="166" fontId="2" fillId="0" borderId="1" xfId="0" applyNumberFormat="1" applyFont="1" applyBorder="1" applyAlignment="1"/>
    <xf numFmtId="0" fontId="2" fillId="0" borderId="1" xfId="0" quotePrefix="1" applyFont="1" applyBorder="1" applyAlignment="1"/>
    <xf numFmtId="0" fontId="15" fillId="0" borderId="12" xfId="0" applyFont="1" applyBorder="1" applyAlignment="1"/>
    <xf numFmtId="0" fontId="4" fillId="0" borderId="1" xfId="0" applyFont="1" applyBorder="1" applyAlignment="1">
      <alignment horizontal="left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wrapText="1"/>
    </xf>
    <xf numFmtId="0" fontId="15" fillId="0" borderId="1" xfId="0" applyFont="1" applyBorder="1" applyAlignment="1">
      <alignment wrapText="1"/>
    </xf>
    <xf numFmtId="41" fontId="6" fillId="0" borderId="2" xfId="1" applyFont="1" applyBorder="1" applyAlignment="1" applyProtection="1"/>
    <xf numFmtId="14" fontId="2" fillId="0" borderId="1" xfId="0" quotePrefix="1" applyNumberFormat="1" applyFont="1" applyBorder="1" applyAlignment="1"/>
    <xf numFmtId="41" fontId="2" fillId="0" borderId="1" xfId="0" applyNumberFormat="1" applyFont="1" applyBorder="1" applyAlignment="1">
      <alignment horizontal="left"/>
    </xf>
    <xf numFmtId="0" fontId="2" fillId="0" borderId="1" xfId="0" quotePrefix="1" applyFont="1" applyFill="1" applyBorder="1" applyAlignment="1"/>
    <xf numFmtId="0" fontId="2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41" fontId="15" fillId="0" borderId="1" xfId="2" applyNumberFormat="1" applyFont="1" applyBorder="1" applyAlignment="1" applyProtection="1"/>
    <xf numFmtId="0" fontId="18" fillId="0" borderId="1" xfId="0" applyFont="1" applyBorder="1" applyAlignment="1">
      <alignment wrapText="1"/>
    </xf>
    <xf numFmtId="0" fontId="15" fillId="0" borderId="14" xfId="0" applyFont="1" applyBorder="1" applyAlignment="1"/>
    <xf numFmtId="0" fontId="15" fillId="0" borderId="12" xfId="0" applyFont="1" applyBorder="1" applyAlignment="1">
      <alignment wrapText="1"/>
    </xf>
    <xf numFmtId="0" fontId="2" fillId="0" borderId="0" xfId="0" applyFont="1" applyFill="1" applyAlignment="1">
      <alignment horizontal="left"/>
    </xf>
    <xf numFmtId="0" fontId="2" fillId="0" borderId="0" xfId="0" applyFont="1" applyFill="1" applyAlignment="1">
      <alignment wrapText="1"/>
    </xf>
    <xf numFmtId="41" fontId="2" fillId="0" borderId="0" xfId="1" applyFont="1" applyFill="1" applyAlignment="1" applyProtection="1"/>
    <xf numFmtId="41" fontId="2" fillId="0" borderId="0" xfId="0" applyNumberFormat="1" applyFont="1" applyFill="1" applyAlignment="1"/>
    <xf numFmtId="0" fontId="19" fillId="0" borderId="0" xfId="4" applyFont="1" applyAlignment="1" applyProtection="1"/>
    <xf numFmtId="0" fontId="10" fillId="0" borderId="3" xfId="4" applyFont="1" applyBorder="1" applyAlignment="1" applyProtection="1"/>
    <xf numFmtId="0" fontId="19" fillId="0" borderId="0" xfId="4" applyFont="1" applyBorder="1" applyAlignment="1" applyProtection="1"/>
    <xf numFmtId="0" fontId="19" fillId="0" borderId="7" xfId="4" applyFont="1" applyBorder="1" applyAlignment="1" applyProtection="1"/>
    <xf numFmtId="0" fontId="19" fillId="0" borderId="3" xfId="4" applyFont="1" applyBorder="1" applyAlignment="1" applyProtection="1"/>
    <xf numFmtId="0" fontId="19" fillId="0" borderId="0" xfId="4" applyBorder="1" applyAlignment="1" applyProtection="1"/>
    <xf numFmtId="0" fontId="19" fillId="0" borderId="0" xfId="4" applyFont="1" applyBorder="1" applyAlignment="1" applyProtection="1">
      <alignment horizontal="right"/>
    </xf>
    <xf numFmtId="43" fontId="19" fillId="0" borderId="0" xfId="4" applyNumberFormat="1" applyFont="1" applyBorder="1" applyAlignment="1" applyProtection="1">
      <alignment horizontal="right"/>
    </xf>
    <xf numFmtId="0" fontId="21" fillId="0" borderId="0" xfId="4" applyFont="1" applyBorder="1" applyAlignment="1" applyProtection="1">
      <alignment horizontal="right"/>
    </xf>
    <xf numFmtId="0" fontId="21" fillId="0" borderId="7" xfId="4" applyFont="1" applyBorder="1" applyAlignment="1" applyProtection="1"/>
    <xf numFmtId="0" fontId="6" fillId="0" borderId="0" xfId="4" applyFont="1" applyBorder="1" applyAlignment="1" applyProtection="1">
      <alignment horizontal="right"/>
    </xf>
    <xf numFmtId="0" fontId="22" fillId="0" borderId="7" xfId="4" applyFont="1" applyBorder="1" applyAlignment="1" applyProtection="1"/>
    <xf numFmtId="0" fontId="6" fillId="0" borderId="3" xfId="4" applyFont="1" applyBorder="1" applyAlignment="1" applyProtection="1"/>
    <xf numFmtId="0" fontId="19" fillId="0" borderId="3" xfId="4" applyBorder="1" applyAlignment="1" applyProtection="1"/>
    <xf numFmtId="43" fontId="19" fillId="0" borderId="0" xfId="4" applyNumberFormat="1" applyFont="1" applyFill="1" applyBorder="1" applyAlignment="1" applyProtection="1">
      <alignment horizontal="right"/>
    </xf>
    <xf numFmtId="43" fontId="6" fillId="0" borderId="18" xfId="4" applyNumberFormat="1" applyFont="1" applyBorder="1" applyAlignment="1" applyProtection="1">
      <alignment horizontal="right"/>
    </xf>
    <xf numFmtId="43" fontId="19" fillId="0" borderId="0" xfId="4" applyNumberFormat="1" applyFont="1" applyAlignment="1" applyProtection="1"/>
    <xf numFmtId="0" fontId="19" fillId="0" borderId="0" xfId="4" applyFill="1" applyBorder="1" applyAlignment="1" applyProtection="1"/>
    <xf numFmtId="0" fontId="23" fillId="0" borderId="3" xfId="4" applyFont="1" applyBorder="1" applyAlignment="1" applyProtection="1">
      <alignment horizontal="right"/>
    </xf>
    <xf numFmtId="0" fontId="23" fillId="0" borderId="0" xfId="4" applyFont="1" applyBorder="1" applyAlignment="1" applyProtection="1">
      <alignment horizontal="right"/>
    </xf>
    <xf numFmtId="0" fontId="23" fillId="0" borderId="7" xfId="4" applyFont="1" applyBorder="1" applyAlignment="1" applyProtection="1">
      <alignment horizontal="right"/>
    </xf>
    <xf numFmtId="43" fontId="22" fillId="0" borderId="0" xfId="5" applyFont="1" applyBorder="1" applyAlignment="1" applyProtection="1">
      <alignment horizontal="right"/>
    </xf>
    <xf numFmtId="0" fontId="21" fillId="0" borderId="3" xfId="4" applyFont="1" applyBorder="1" applyAlignment="1" applyProtection="1">
      <alignment horizontal="left"/>
    </xf>
    <xf numFmtId="0" fontId="14" fillId="0" borderId="3" xfId="4" applyFont="1" applyBorder="1" applyAlignment="1" applyProtection="1"/>
    <xf numFmtId="0" fontId="14" fillId="0" borderId="0" xfId="4" applyFont="1" applyBorder="1" applyAlignment="1" applyProtection="1"/>
    <xf numFmtId="0" fontId="14" fillId="0" borderId="7" xfId="4" applyFont="1" applyBorder="1" applyAlignment="1" applyProtection="1"/>
    <xf numFmtId="0" fontId="14" fillId="0" borderId="19" xfId="4" applyFont="1" applyBorder="1" applyAlignment="1" applyProtection="1">
      <alignment horizontal="right"/>
    </xf>
    <xf numFmtId="0" fontId="14" fillId="0" borderId="17" xfId="4" applyFont="1" applyBorder="1" applyAlignment="1" applyProtection="1">
      <alignment horizontal="right"/>
    </xf>
    <xf numFmtId="0" fontId="14" fillId="0" borderId="20" xfId="4" applyFont="1" applyBorder="1" applyAlignment="1" applyProtection="1">
      <alignment horizontal="right"/>
    </xf>
    <xf numFmtId="0" fontId="19" fillId="0" borderId="17" xfId="4" applyFont="1" applyBorder="1" applyAlignment="1" applyProtection="1">
      <alignment horizontal="right"/>
    </xf>
    <xf numFmtId="43" fontId="22" fillId="0" borderId="17" xfId="4" applyNumberFormat="1" applyFont="1" applyBorder="1" applyAlignment="1" applyProtection="1">
      <alignment horizontal="right"/>
    </xf>
    <xf numFmtId="0" fontId="19" fillId="0" borderId="20" xfId="4" applyFont="1" applyBorder="1" applyAlignment="1" applyProtection="1"/>
    <xf numFmtId="0" fontId="19" fillId="0" borderId="21" xfId="4" applyBorder="1" applyAlignment="1" applyProtection="1"/>
    <xf numFmtId="0" fontId="19" fillId="0" borderId="18" xfId="4" applyFont="1" applyBorder="1" applyAlignment="1" applyProtection="1"/>
    <xf numFmtId="0" fontId="19" fillId="0" borderId="22" xfId="4" applyFont="1" applyBorder="1" applyAlignment="1" applyProtection="1"/>
    <xf numFmtId="0" fontId="19" fillId="0" borderId="18" xfId="4" applyFont="1" applyBorder="1" applyAlignment="1" applyProtection="1">
      <alignment horizontal="right"/>
    </xf>
    <xf numFmtId="43" fontId="19" fillId="0" borderId="18" xfId="4" applyNumberFormat="1" applyFont="1" applyBorder="1" applyAlignment="1" applyProtection="1"/>
    <xf numFmtId="43" fontId="2" fillId="0" borderId="17" xfId="5" applyFont="1" applyBorder="1" applyAlignment="1" applyProtection="1"/>
    <xf numFmtId="0" fontId="19" fillId="0" borderId="19" xfId="4" applyBorder="1" applyAlignment="1" applyProtection="1"/>
    <xf numFmtId="0" fontId="19" fillId="0" borderId="17" xfId="4" applyFont="1" applyBorder="1" applyAlignment="1" applyProtection="1"/>
    <xf numFmtId="43" fontId="6" fillId="0" borderId="17" xfId="5" applyFont="1" applyBorder="1" applyAlignment="1" applyProtection="1"/>
    <xf numFmtId="0" fontId="10" fillId="0" borderId="21" xfId="4" applyFont="1" applyFill="1" applyBorder="1" applyAlignment="1" applyProtection="1"/>
    <xf numFmtId="0" fontId="19" fillId="0" borderId="3" xfId="4" applyFont="1" applyFill="1" applyBorder="1" applyAlignment="1" applyProtection="1"/>
    <xf numFmtId="9" fontId="19" fillId="0" borderId="0" xfId="4" applyNumberFormat="1" applyFont="1" applyBorder="1" applyAlignment="1" applyProtection="1"/>
    <xf numFmtId="43" fontId="19" fillId="0" borderId="0" xfId="4" applyNumberFormat="1" applyFont="1" applyBorder="1" applyAlignment="1" applyProtection="1"/>
    <xf numFmtId="43" fontId="6" fillId="0" borderId="2" xfId="4" applyNumberFormat="1" applyFont="1" applyBorder="1" applyAlignment="1" applyProtection="1"/>
    <xf numFmtId="9" fontId="2" fillId="0" borderId="0" xfId="6" applyFont="1" applyAlignment="1" applyProtection="1"/>
    <xf numFmtId="165" fontId="2" fillId="0" borderId="0" xfId="7" applyNumberFormat="1" applyFont="1" applyAlignment="1" applyProtection="1"/>
    <xf numFmtId="43" fontId="19" fillId="0" borderId="0" xfId="4" applyNumberFormat="1" applyFont="1" applyFill="1" applyBorder="1" applyAlignment="1" applyProtection="1"/>
    <xf numFmtId="43" fontId="6" fillId="0" borderId="23" xfId="4" applyNumberFormat="1" applyFont="1" applyBorder="1" applyAlignment="1" applyProtection="1"/>
    <xf numFmtId="0" fontId="19" fillId="0" borderId="19" xfId="4" applyFont="1" applyBorder="1" applyAlignment="1" applyProtection="1"/>
    <xf numFmtId="43" fontId="19" fillId="0" borderId="17" xfId="4" applyNumberFormat="1" applyFont="1" applyBorder="1" applyAlignment="1" applyProtection="1"/>
    <xf numFmtId="0" fontId="19" fillId="0" borderId="0" xfId="4" applyAlignment="1" applyProtection="1"/>
    <xf numFmtId="0" fontId="19" fillId="0" borderId="0" xfId="4" applyFont="1" applyAlignment="1" applyProtection="1"/>
    <xf numFmtId="0" fontId="19" fillId="0" borderId="0" xfId="4" applyAlignment="1" applyProtection="1"/>
    <xf numFmtId="0" fontId="10" fillId="0" borderId="0" xfId="4" applyFont="1" applyAlignment="1" applyProtection="1"/>
    <xf numFmtId="0" fontId="10" fillId="0" borderId="0" xfId="4" applyFont="1" applyAlignment="1" applyProtection="1"/>
    <xf numFmtId="0" fontId="9" fillId="0" borderId="0" xfId="4" applyFont="1" applyAlignment="1" applyProtection="1"/>
    <xf numFmtId="0" fontId="9" fillId="0" borderId="0" xfId="4" applyFont="1" applyAlignment="1" applyProtection="1"/>
    <xf numFmtId="0" fontId="8" fillId="0" borderId="0" xfId="4" applyFont="1" applyAlignment="1" applyProtection="1"/>
    <xf numFmtId="0" fontId="19" fillId="0" borderId="0" xfId="4" applyFont="1" applyBorder="1" applyAlignment="1" applyProtection="1"/>
    <xf numFmtId="0" fontId="19" fillId="0" borderId="21" xfId="4" applyFont="1" applyBorder="1" applyAlignment="1" applyProtection="1"/>
    <xf numFmtId="0" fontId="10" fillId="0" borderId="3" xfId="4" applyFont="1" applyBorder="1" applyAlignment="1" applyProtection="1">
      <alignment horizontal="left" indent="1"/>
    </xf>
    <xf numFmtId="43" fontId="6" fillId="0" borderId="0" xfId="5" applyFont="1" applyBorder="1" applyAlignment="1" applyProtection="1"/>
    <xf numFmtId="43" fontId="2" fillId="0" borderId="0" xfId="5" applyFont="1" applyBorder="1" applyAlignment="1" applyProtection="1"/>
    <xf numFmtId="0" fontId="14" fillId="0" borderId="0" xfId="4" applyFont="1" applyBorder="1" applyAlignment="1" applyProtection="1">
      <alignment horizontal="right"/>
    </xf>
    <xf numFmtId="43" fontId="14" fillId="0" borderId="18" xfId="5" applyFont="1" applyBorder="1" applyAlignment="1" applyProtection="1"/>
    <xf numFmtId="43" fontId="14" fillId="0" borderId="0" xfId="5" applyFont="1" applyBorder="1" applyAlignment="1" applyProtection="1"/>
    <xf numFmtId="43" fontId="6" fillId="0" borderId="14" xfId="5" applyFont="1" applyBorder="1" applyAlignment="1" applyProtection="1"/>
    <xf numFmtId="43" fontId="2" fillId="0" borderId="18" xfId="5" applyFont="1" applyBorder="1" applyAlignment="1" applyProtection="1"/>
    <xf numFmtId="0" fontId="6" fillId="0" borderId="3" xfId="4" applyFont="1" applyBorder="1" applyAlignment="1" applyProtection="1">
      <alignment horizontal="left" indent="1"/>
    </xf>
    <xf numFmtId="43" fontId="14" fillId="0" borderId="10" xfId="4" applyNumberFormat="1" applyFont="1" applyBorder="1" applyAlignment="1" applyProtection="1"/>
    <xf numFmtId="43" fontId="14" fillId="0" borderId="0" xfId="4" applyNumberFormat="1" applyFont="1" applyBorder="1" applyAlignment="1" applyProtection="1"/>
    <xf numFmtId="0" fontId="19" fillId="0" borderId="0" xfId="4" applyAlignment="1" applyProtection="1">
      <alignment horizontal="left" indent="2"/>
    </xf>
    <xf numFmtId="0" fontId="19" fillId="0" borderId="0" xfId="4" applyFont="1" applyAlignment="1" applyProtection="1">
      <alignment horizontal="left" indent="2"/>
    </xf>
    <xf numFmtId="0" fontId="10" fillId="0" borderId="0" xfId="4" applyFont="1" applyAlignment="1" applyProtection="1">
      <alignment horizontal="left" indent="2"/>
    </xf>
    <xf numFmtId="0" fontId="8" fillId="0" borderId="0" xfId="4" applyFont="1" applyAlignment="1" applyProtection="1">
      <alignment horizontal="center"/>
    </xf>
    <xf numFmtId="0" fontId="6" fillId="0" borderId="0" xfId="4" applyFont="1" applyAlignment="1" applyProtection="1">
      <alignment horizontal="left" vertical="center"/>
    </xf>
    <xf numFmtId="0" fontId="6" fillId="0" borderId="0" xfId="4" applyFont="1" applyAlignment="1" applyProtection="1">
      <alignment horizontal="left"/>
    </xf>
    <xf numFmtId="0" fontId="6" fillId="0" borderId="2" xfId="4" quotePrefix="1" applyFont="1" applyBorder="1" applyAlignment="1" applyProtection="1">
      <alignment horizontal="center"/>
    </xf>
    <xf numFmtId="0" fontId="6" fillId="0" borderId="2" xfId="4" applyFont="1" applyBorder="1" applyAlignment="1" applyProtection="1">
      <alignment horizontal="left"/>
    </xf>
    <xf numFmtId="0" fontId="6" fillId="0" borderId="2" xfId="4" applyFont="1" applyBorder="1" applyAlignment="1" applyProtection="1">
      <alignment horizontal="center"/>
    </xf>
    <xf numFmtId="0" fontId="6" fillId="0" borderId="2" xfId="4" quotePrefix="1" applyFont="1" applyBorder="1" applyAlignment="1" applyProtection="1">
      <alignment horizontal="left"/>
    </xf>
    <xf numFmtId="0" fontId="19" fillId="0" borderId="2" xfId="4" applyFont="1" applyBorder="1" applyAlignment="1" applyProtection="1">
      <alignment horizontal="center"/>
    </xf>
    <xf numFmtId="0" fontId="19" fillId="0" borderId="2" xfId="4" applyBorder="1" applyAlignment="1" applyProtection="1">
      <alignment horizontal="left" indent="1"/>
    </xf>
    <xf numFmtId="43" fontId="2" fillId="0" borderId="0" xfId="5" applyFont="1" applyFill="1" applyBorder="1" applyAlignment="1" applyProtection="1">
      <alignment horizontal="center"/>
    </xf>
    <xf numFmtId="43" fontId="19" fillId="0" borderId="2" xfId="4" applyNumberFormat="1" applyFont="1" applyBorder="1" applyAlignment="1" applyProtection="1"/>
    <xf numFmtId="0" fontId="19" fillId="0" borderId="2" xfId="4" applyFont="1" applyBorder="1" applyAlignment="1" applyProtection="1"/>
    <xf numFmtId="0" fontId="19" fillId="0" borderId="2" xfId="4" quotePrefix="1" applyBorder="1" applyAlignment="1" applyProtection="1"/>
    <xf numFmtId="43" fontId="2" fillId="0" borderId="2" xfId="5" applyFont="1" applyBorder="1" applyAlignment="1" applyProtection="1"/>
    <xf numFmtId="0" fontId="24" fillId="0" borderId="2" xfId="4" applyFont="1" applyBorder="1" applyAlignment="1" applyProtection="1"/>
    <xf numFmtId="165" fontId="19" fillId="0" borderId="2" xfId="1" applyNumberFormat="1" applyFont="1" applyBorder="1" applyAlignment="1" applyProtection="1"/>
    <xf numFmtId="0" fontId="6" fillId="0" borderId="2" xfId="4" applyFont="1" applyBorder="1" applyAlignment="1" applyProtection="1"/>
    <xf numFmtId="43" fontId="6" fillId="0" borderId="1" xfId="4" applyNumberFormat="1" applyFont="1" applyBorder="1" applyAlignment="1" applyProtection="1"/>
    <xf numFmtId="41" fontId="19" fillId="0" borderId="0" xfId="4" applyNumberFormat="1" applyFont="1" applyBorder="1" applyAlignment="1" applyProtection="1"/>
    <xf numFmtId="41" fontId="6" fillId="0" borderId="2" xfId="7" applyFont="1" applyBorder="1" applyAlignment="1" applyProtection="1"/>
    <xf numFmtId="49" fontId="19" fillId="0" borderId="2" xfId="4" applyNumberFormat="1" applyBorder="1" applyAlignment="1" applyProtection="1">
      <alignment horizontal="center"/>
    </xf>
    <xf numFmtId="0" fontId="10" fillId="0" borderId="2" xfId="4" applyFont="1" applyBorder="1" applyAlignment="1" applyProtection="1"/>
    <xf numFmtId="0" fontId="9" fillId="0" borderId="2" xfId="4" applyFont="1" applyBorder="1" applyAlignment="1" applyProtection="1">
      <alignment horizontal="left" indent="1"/>
    </xf>
    <xf numFmtId="41" fontId="2" fillId="0" borderId="2" xfId="7" applyFont="1" applyBorder="1" applyAlignment="1" applyProtection="1"/>
    <xf numFmtId="0" fontId="19" fillId="0" borderId="2" xfId="4" applyBorder="1" applyAlignment="1" applyProtection="1"/>
    <xf numFmtId="0" fontId="21" fillId="0" borderId="2" xfId="4" quotePrefix="1" applyFont="1" applyBorder="1" applyAlignment="1" applyProtection="1">
      <alignment horizontal="center"/>
    </xf>
    <xf numFmtId="0" fontId="21" fillId="0" borderId="2" xfId="4" applyFont="1" applyBorder="1" applyAlignment="1" applyProtection="1"/>
    <xf numFmtId="0" fontId="23" fillId="0" borderId="2" xfId="4" applyFont="1" applyBorder="1" applyAlignment="1" applyProtection="1"/>
    <xf numFmtId="0" fontId="22" fillId="0" borderId="0" xfId="4" applyFont="1" applyBorder="1" applyAlignment="1" applyProtection="1">
      <alignment horizontal="right"/>
    </xf>
    <xf numFmtId="0" fontId="19" fillId="0" borderId="2" xfId="4" applyFill="1" applyBorder="1" applyAlignment="1" applyProtection="1">
      <alignment horizontal="left" indent="1"/>
    </xf>
    <xf numFmtId="41" fontId="2" fillId="0" borderId="2" xfId="7" applyFont="1" applyFill="1" applyBorder="1" applyAlignment="1" applyProtection="1"/>
    <xf numFmtId="0" fontId="19" fillId="0" borderId="2" xfId="4" applyFont="1" applyBorder="1" applyAlignment="1" applyProtection="1">
      <alignment horizontal="left"/>
    </xf>
    <xf numFmtId="0" fontId="19" fillId="0" borderId="2" xfId="4" applyFont="1" applyFill="1" applyBorder="1" applyAlignment="1" applyProtection="1">
      <alignment horizontal="left" indent="1"/>
    </xf>
    <xf numFmtId="0" fontId="19" fillId="0" borderId="2" xfId="4" applyFont="1" applyBorder="1" applyAlignment="1" applyProtection="1"/>
    <xf numFmtId="43" fontId="2" fillId="0" borderId="2" xfId="5" applyFont="1" applyBorder="1" applyAlignment="1" applyProtection="1"/>
    <xf numFmtId="43" fontId="14" fillId="0" borderId="0" xfId="4" applyNumberFormat="1" applyFont="1" applyBorder="1" applyAlignment="1" applyProtection="1">
      <alignment horizontal="right"/>
    </xf>
    <xf numFmtId="0" fontId="19" fillId="0" borderId="2" xfId="4" applyFont="1" applyFill="1" applyBorder="1" applyAlignment="1" applyProtection="1"/>
    <xf numFmtId="0" fontId="24" fillId="0" borderId="2" xfId="4" applyFont="1" applyBorder="1" applyAlignment="1" applyProtection="1"/>
    <xf numFmtId="41" fontId="2" fillId="0" borderId="2" xfId="7" applyFont="1" applyFill="1" applyBorder="1" applyAlignment="1" applyProtection="1"/>
    <xf numFmtId="0" fontId="6" fillId="0" borderId="2" xfId="4" applyFont="1" applyFill="1" applyBorder="1" applyAlignment="1" applyProtection="1"/>
    <xf numFmtId="43" fontId="6" fillId="0" borderId="4" xfId="5" applyFont="1" applyBorder="1" applyAlignment="1" applyProtection="1"/>
    <xf numFmtId="0" fontId="19" fillId="0" borderId="5" xfId="4" applyFont="1" applyBorder="1" applyAlignment="1" applyProtection="1"/>
    <xf numFmtId="0" fontId="6" fillId="0" borderId="0" xfId="4" applyFont="1" applyAlignment="1" applyProtection="1"/>
    <xf numFmtId="0" fontId="6" fillId="0" borderId="1" xfId="4" applyFont="1" applyBorder="1" applyAlignment="1" applyProtection="1"/>
    <xf numFmtId="0" fontId="6" fillId="0" borderId="0" xfId="4" applyFont="1" applyBorder="1" applyAlignment="1" applyProtection="1"/>
    <xf numFmtId="41" fontId="2" fillId="0" borderId="0" xfId="7" applyFont="1" applyBorder="1" applyAlignment="1" applyProtection="1"/>
    <xf numFmtId="0" fontId="23" fillId="0" borderId="0" xfId="4" applyFont="1" applyBorder="1" applyAlignment="1" applyProtection="1"/>
    <xf numFmtId="0" fontId="19" fillId="0" borderId="0" xfId="4" applyFont="1" applyBorder="1" applyAlignment="1" applyProtection="1">
      <alignment vertical="center"/>
    </xf>
    <xf numFmtId="0" fontId="19" fillId="0" borderId="0" xfId="4" applyFont="1" applyBorder="1" applyAlignment="1" applyProtection="1">
      <alignment horizontal="left" vertical="center" wrapText="1"/>
    </xf>
    <xf numFmtId="0" fontId="24" fillId="0" borderId="2" xfId="4" applyFont="1" applyBorder="1" applyAlignment="1" applyProtection="1">
      <alignment horizontal="left" indent="1"/>
    </xf>
    <xf numFmtId="0" fontId="27" fillId="0" borderId="2" xfId="4" applyFont="1" applyBorder="1" applyAlignment="1" applyProtection="1"/>
    <xf numFmtId="0" fontId="28" fillId="0" borderId="0" xfId="0" applyFont="1" applyAlignment="1"/>
    <xf numFmtId="43" fontId="25" fillId="0" borderId="0" xfId="2">
      <protection locked="0"/>
    </xf>
    <xf numFmtId="43" fontId="28" fillId="0" borderId="0" xfId="2" applyFont="1">
      <protection locked="0"/>
    </xf>
    <xf numFmtId="0" fontId="28" fillId="0" borderId="1" xfId="0" applyFont="1" applyBorder="1" applyAlignment="1"/>
    <xf numFmtId="166" fontId="0" fillId="0" borderId="0" xfId="0" applyNumberFormat="1">
      <alignment vertical="center"/>
    </xf>
    <xf numFmtId="0" fontId="2" fillId="0" borderId="1" xfId="0" applyFont="1" applyBorder="1" applyAlignment="1">
      <alignment horizontal="center" vertical="center"/>
    </xf>
    <xf numFmtId="41" fontId="30" fillId="0" borderId="1" xfId="1" applyFont="1" applyBorder="1" applyAlignment="1" applyProtection="1"/>
    <xf numFmtId="0" fontId="30" fillId="0" borderId="1" xfId="0" applyFont="1" applyBorder="1" applyAlignment="1"/>
    <xf numFmtId="166" fontId="30" fillId="0" borderId="1" xfId="3" applyFont="1" applyFill="1" applyBorder="1" applyAlignment="1" applyProtection="1"/>
    <xf numFmtId="0" fontId="30" fillId="0" borderId="1" xfId="0" applyFont="1" applyBorder="1" applyAlignment="1">
      <alignment horizontal="left"/>
    </xf>
    <xf numFmtId="0" fontId="30" fillId="0" borderId="1" xfId="0" applyFont="1" applyBorder="1" applyAlignment="1">
      <alignment horizontal="center"/>
    </xf>
    <xf numFmtId="0" fontId="30" fillId="0" borderId="1" xfId="0" applyFont="1" applyFill="1" applyBorder="1" applyAlignment="1">
      <alignment wrapText="1"/>
    </xf>
    <xf numFmtId="0" fontId="30" fillId="0" borderId="0" xfId="0" applyFont="1">
      <alignment vertical="center"/>
    </xf>
    <xf numFmtId="0" fontId="29" fillId="0" borderId="1" xfId="0" applyFont="1" applyBorder="1" applyAlignment="1"/>
    <xf numFmtId="41" fontId="29" fillId="0" borderId="1" xfId="2" applyNumberFormat="1" applyFont="1" applyBorder="1" applyAlignment="1" applyProtection="1"/>
    <xf numFmtId="41" fontId="30" fillId="0" borderId="1" xfId="3" applyNumberFormat="1" applyFont="1" applyBorder="1" applyAlignment="1" applyProtection="1"/>
    <xf numFmtId="43" fontId="19" fillId="0" borderId="0" xfId="4" applyNumberFormat="1" applyBorder="1" applyAlignment="1" applyProtection="1"/>
    <xf numFmtId="0" fontId="31" fillId="0" borderId="0" xfId="0" applyFont="1">
      <alignment vertical="center"/>
    </xf>
    <xf numFmtId="41" fontId="0" fillId="0" borderId="0" xfId="0" applyNumberFormat="1">
      <alignment vertical="center"/>
    </xf>
    <xf numFmtId="0" fontId="28" fillId="0" borderId="2" xfId="4" applyFont="1" applyBorder="1" applyAlignment="1" applyProtection="1">
      <alignment horizontal="left"/>
    </xf>
    <xf numFmtId="0" fontId="19" fillId="0" borderId="2" xfId="4" applyBorder="1" applyAlignment="1" applyProtection="1">
      <alignment horizontal="right"/>
    </xf>
    <xf numFmtId="0" fontId="19" fillId="0" borderId="2" xfId="4" quotePrefix="1" applyBorder="1" applyAlignment="1" applyProtection="1">
      <alignment horizontal="right"/>
    </xf>
    <xf numFmtId="43" fontId="28" fillId="0" borderId="0" xfId="4" applyNumberFormat="1" applyFont="1" applyBorder="1" applyAlignment="1" applyProtection="1"/>
    <xf numFmtId="41" fontId="27" fillId="0" borderId="2" xfId="7" applyFont="1" applyBorder="1" applyAlignment="1" applyProtection="1"/>
    <xf numFmtId="43" fontId="6" fillId="0" borderId="0" xfId="4" applyNumberFormat="1" applyFont="1" applyBorder="1" applyAlignment="1" applyProtection="1">
      <alignment horizontal="right"/>
    </xf>
    <xf numFmtId="41" fontId="27" fillId="0" borderId="0" xfId="1" applyFont="1" applyAlignment="1" applyProtection="1"/>
    <xf numFmtId="0" fontId="6" fillId="7" borderId="1" xfId="0" applyFont="1" applyFill="1" applyBorder="1" applyAlignment="1"/>
    <xf numFmtId="43" fontId="6" fillId="7" borderId="1" xfId="2" applyFont="1" applyFill="1" applyBorder="1" applyAlignment="1" applyProtection="1"/>
    <xf numFmtId="0" fontId="19" fillId="0" borderId="1" xfId="4" applyBorder="1" applyAlignment="1" applyProtection="1">
      <alignment horizontal="left" indent="1"/>
    </xf>
    <xf numFmtId="0" fontId="27" fillId="0" borderId="1" xfId="0" applyFont="1" applyBorder="1" applyAlignment="1">
      <alignment horizontal="left" indent="1"/>
    </xf>
    <xf numFmtId="0" fontId="0" fillId="0" borderId="21" xfId="0" applyBorder="1">
      <alignment vertical="center"/>
    </xf>
    <xf numFmtId="0" fontId="6" fillId="0" borderId="18" xfId="0" applyFont="1" applyBorder="1" applyAlignment="1"/>
    <xf numFmtId="43" fontId="6" fillId="0" borderId="18" xfId="2" applyFont="1" applyBorder="1" applyAlignment="1" applyProtection="1"/>
    <xf numFmtId="0" fontId="0" fillId="0" borderId="18" xfId="0" applyBorder="1">
      <alignment vertical="center"/>
    </xf>
    <xf numFmtId="165" fontId="6" fillId="0" borderId="22" xfId="1" applyNumberFormat="1" applyFont="1" applyBorder="1" applyAlignment="1" applyProtection="1"/>
    <xf numFmtId="0" fontId="0" fillId="0" borderId="3" xfId="0" applyBorder="1">
      <alignment vertical="center"/>
    </xf>
    <xf numFmtId="0" fontId="0" fillId="0" borderId="0" xfId="0" applyBorder="1">
      <alignment vertical="center"/>
    </xf>
    <xf numFmtId="165" fontId="6" fillId="0" borderId="7" xfId="1" applyNumberFormat="1" applyFont="1" applyBorder="1" applyAlignment="1" applyProtection="1"/>
    <xf numFmtId="43" fontId="2" fillId="0" borderId="0" xfId="0" applyNumberFormat="1" applyFont="1" applyBorder="1" applyAlignment="1"/>
    <xf numFmtId="43" fontId="6" fillId="0" borderId="0" xfId="0" applyNumberFormat="1" applyFont="1" applyBorder="1" applyAlignment="1"/>
    <xf numFmtId="0" fontId="32" fillId="0" borderId="0" xfId="0" applyFont="1" applyBorder="1">
      <alignment vertical="center"/>
    </xf>
    <xf numFmtId="0" fontId="0" fillId="0" borderId="19" xfId="0" applyBorder="1">
      <alignment vertical="center"/>
    </xf>
    <xf numFmtId="0" fontId="0" fillId="0" borderId="17" xfId="0" applyBorder="1">
      <alignment vertical="center"/>
    </xf>
    <xf numFmtId="165" fontId="6" fillId="0" borderId="20" xfId="1" applyNumberFormat="1" applyFont="1" applyBorder="1" applyAlignment="1" applyProtection="1"/>
    <xf numFmtId="0" fontId="2" fillId="0" borderId="6" xfId="0" applyFont="1" applyBorder="1" applyAlignment="1">
      <alignment horizontal="left" indent="1"/>
    </xf>
    <xf numFmtId="43" fontId="4" fillId="0" borderId="6" xfId="2" applyFont="1" applyBorder="1" applyAlignment="1" applyProtection="1"/>
    <xf numFmtId="0" fontId="6" fillId="4" borderId="24" xfId="0" applyFont="1" applyFill="1" applyBorder="1">
      <alignment vertical="center"/>
    </xf>
    <xf numFmtId="43" fontId="6" fillId="4" borderId="24" xfId="0" applyNumberFormat="1" applyFont="1" applyFill="1" applyBorder="1">
      <alignment vertical="center"/>
    </xf>
    <xf numFmtId="0" fontId="6" fillId="4" borderId="25" xfId="0" applyFont="1" applyFill="1" applyBorder="1">
      <alignment vertical="center"/>
    </xf>
    <xf numFmtId="43" fontId="6" fillId="4" borderId="25" xfId="0" applyNumberFormat="1" applyFont="1" applyFill="1" applyBorder="1">
      <alignment vertical="center"/>
    </xf>
    <xf numFmtId="165" fontId="6" fillId="4" borderId="25" xfId="1" applyNumberFormat="1" applyFont="1" applyFill="1" applyBorder="1" applyAlignment="1" applyProtection="1">
      <alignment vertical="center"/>
    </xf>
    <xf numFmtId="0" fontId="19" fillId="0" borderId="0" xfId="4" applyFont="1" applyAlignment="1" applyProtection="1">
      <alignment wrapText="1"/>
    </xf>
    <xf numFmtId="0" fontId="19" fillId="0" borderId="0" xfId="4" applyFont="1" applyBorder="1" applyAlignment="1" applyProtection="1">
      <alignment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2" fillId="6" borderId="4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5" borderId="6" xfId="0" applyFont="1" applyFill="1" applyBorder="1" applyAlignment="1">
      <alignment horizontal="left" vertical="center"/>
    </xf>
    <xf numFmtId="165" fontId="28" fillId="0" borderId="1" xfId="1" applyNumberFormat="1" applyFont="1" applyBorder="1" applyAlignment="1" applyProtection="1"/>
    <xf numFmtId="0" fontId="34" fillId="0" borderId="3" xfId="4" applyFont="1" applyBorder="1" applyAlignment="1" applyProtection="1">
      <alignment horizontal="left" indent="1"/>
    </xf>
    <xf numFmtId="43" fontId="6" fillId="0" borderId="18" xfId="5" applyFont="1" applyBorder="1" applyAlignment="1" applyProtection="1"/>
    <xf numFmtId="0" fontId="0" fillId="0" borderId="0" xfId="0" applyAlignment="1">
      <alignment horizontal="center" vertical="center"/>
    </xf>
    <xf numFmtId="43" fontId="2" fillId="0" borderId="0" xfId="2" applyFont="1">
      <protection locked="0"/>
    </xf>
    <xf numFmtId="43" fontId="2" fillId="6" borderId="1" xfId="2" applyFont="1" applyFill="1" applyBorder="1" applyAlignment="1">
      <alignment horizontal="center" vertical="center"/>
      <protection locked="0"/>
    </xf>
    <xf numFmtId="43" fontId="2" fillId="0" borderId="1" xfId="2" applyFont="1" applyBorder="1">
      <protection locked="0"/>
    </xf>
    <xf numFmtId="14" fontId="15" fillId="0" borderId="1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14" fontId="2" fillId="0" borderId="5" xfId="0" quotePrefix="1" applyNumberFormat="1" applyFont="1" applyBorder="1" applyAlignment="1">
      <alignment horizontal="center"/>
    </xf>
    <xf numFmtId="14" fontId="15" fillId="0" borderId="12" xfId="0" applyNumberFormat="1" applyFont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5" borderId="6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27" fillId="0" borderId="1" xfId="0" applyFont="1" applyBorder="1" applyAlignment="1"/>
    <xf numFmtId="0" fontId="6" fillId="0" borderId="0" xfId="0" applyFont="1" applyFill="1" applyBorder="1">
      <alignment vertical="center"/>
    </xf>
    <xf numFmtId="43" fontId="6" fillId="0" borderId="0" xfId="0" applyNumberFormat="1" applyFont="1" applyFill="1" applyBorder="1">
      <alignment vertical="center"/>
    </xf>
    <xf numFmtId="0" fontId="0" fillId="0" borderId="0" xfId="0" applyFill="1" applyBorder="1">
      <alignment vertical="center"/>
    </xf>
    <xf numFmtId="0" fontId="6" fillId="4" borderId="26" xfId="0" applyFont="1" applyFill="1" applyBorder="1">
      <alignment vertical="center"/>
    </xf>
    <xf numFmtId="43" fontId="6" fillId="4" borderId="26" xfId="0" applyNumberFormat="1" applyFont="1" applyFill="1" applyBorder="1">
      <alignment vertical="center"/>
    </xf>
    <xf numFmtId="0" fontId="6" fillId="4" borderId="1" xfId="0" applyFont="1" applyFill="1" applyBorder="1">
      <alignment vertical="center"/>
    </xf>
    <xf numFmtId="43" fontId="6" fillId="4" borderId="1" xfId="0" applyNumberFormat="1" applyFont="1" applyFill="1" applyBorder="1">
      <alignment vertical="center"/>
    </xf>
    <xf numFmtId="41" fontId="28" fillId="3" borderId="1" xfId="1" applyFont="1" applyFill="1" applyBorder="1" applyAlignment="1" applyProtection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28" fillId="3" borderId="11" xfId="0" applyFont="1" applyFill="1" applyBorder="1" applyAlignment="1">
      <alignment horizontal="center" vertical="center"/>
    </xf>
    <xf numFmtId="165" fontId="4" fillId="0" borderId="1" xfId="0" applyNumberFormat="1" applyFont="1" applyBorder="1" applyAlignment="1">
      <alignment horizontal="left" indent="1"/>
    </xf>
    <xf numFmtId="43" fontId="0" fillId="0" borderId="0" xfId="0" applyNumberFormat="1">
      <alignment vertical="center"/>
    </xf>
    <xf numFmtId="41" fontId="31" fillId="3" borderId="1" xfId="1" applyFont="1" applyFill="1" applyBorder="1" applyAlignment="1" applyProtection="1">
      <alignment horizontal="center" vertical="center"/>
    </xf>
    <xf numFmtId="0" fontId="30" fillId="0" borderId="0" xfId="0" applyFont="1" applyBorder="1">
      <alignment vertical="center"/>
    </xf>
    <xf numFmtId="43" fontId="0" fillId="0" borderId="0" xfId="0" applyNumberFormat="1" applyBorder="1">
      <alignment vertical="center"/>
    </xf>
    <xf numFmtId="43" fontId="27" fillId="0" borderId="0" xfId="2" applyFont="1" applyBorder="1">
      <protection locked="0"/>
    </xf>
    <xf numFmtId="0" fontId="31" fillId="0" borderId="0" xfId="0" applyFont="1" applyFill="1" applyBorder="1">
      <alignment vertical="center"/>
    </xf>
    <xf numFmtId="0" fontId="31" fillId="0" borderId="0" xfId="0" applyFont="1" applyBorder="1">
      <alignment vertical="center"/>
    </xf>
    <xf numFmtId="43" fontId="28" fillId="0" borderId="10" xfId="2" applyFont="1" applyBorder="1">
      <protection locked="0"/>
    </xf>
    <xf numFmtId="0" fontId="0" fillId="0" borderId="0" xfId="0" applyFont="1" applyFill="1" applyBorder="1">
      <alignment vertical="center"/>
    </xf>
    <xf numFmtId="165" fontId="0" fillId="0" borderId="0" xfId="0" applyNumberFormat="1" applyBorder="1">
      <alignment vertical="center"/>
    </xf>
    <xf numFmtId="165" fontId="31" fillId="0" borderId="10" xfId="0" applyNumberFormat="1" applyFont="1" applyBorder="1">
      <alignment vertical="center"/>
    </xf>
    <xf numFmtId="43" fontId="31" fillId="0" borderId="10" xfId="0" applyNumberFormat="1" applyFont="1" applyBorder="1">
      <alignment vertical="center"/>
    </xf>
    <xf numFmtId="165" fontId="6" fillId="0" borderId="0" xfId="1" applyNumberFormat="1" applyFont="1" applyBorder="1" applyAlignment="1" applyProtection="1"/>
    <xf numFmtId="43" fontId="31" fillId="4" borderId="24" xfId="0" applyNumberFormat="1" applyFont="1" applyFill="1" applyBorder="1">
      <alignment vertical="center"/>
    </xf>
    <xf numFmtId="0" fontId="6" fillId="0" borderId="21" xfId="0" applyFont="1" applyFill="1" applyBorder="1">
      <alignment vertical="center"/>
    </xf>
    <xf numFmtId="0" fontId="6" fillId="0" borderId="18" xfId="0" applyFont="1" applyFill="1" applyBorder="1">
      <alignment vertical="center"/>
    </xf>
    <xf numFmtId="43" fontId="6" fillId="0" borderId="18" xfId="0" applyNumberFormat="1" applyFont="1" applyFill="1" applyBorder="1">
      <alignment vertical="center"/>
    </xf>
    <xf numFmtId="43" fontId="6" fillId="0" borderId="22" xfId="0" applyNumberFormat="1" applyFont="1" applyFill="1" applyBorder="1">
      <alignment vertical="center"/>
    </xf>
    <xf numFmtId="0" fontId="0" fillId="0" borderId="7" xfId="0" applyBorder="1">
      <alignment vertical="center"/>
    </xf>
    <xf numFmtId="0" fontId="32" fillId="0" borderId="7" xfId="0" applyFont="1" applyBorder="1">
      <alignment vertical="center"/>
    </xf>
    <xf numFmtId="0" fontId="0" fillId="0" borderId="20" xfId="0" applyBorder="1">
      <alignment vertical="center"/>
    </xf>
    <xf numFmtId="0" fontId="32" fillId="0" borderId="0" xfId="0" applyFont="1" applyFill="1" applyBorder="1">
      <alignment vertical="center"/>
    </xf>
    <xf numFmtId="0" fontId="30" fillId="0" borderId="17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43" fontId="13" fillId="0" borderId="1" xfId="2" applyFont="1" applyBorder="1" applyAlignment="1" applyProtection="1"/>
    <xf numFmtId="0" fontId="4" fillId="0" borderId="0" xfId="0" applyFont="1">
      <alignment vertical="center"/>
    </xf>
    <xf numFmtId="0" fontId="6" fillId="0" borderId="1" xfId="0" applyFont="1" applyBorder="1" applyAlignment="1">
      <alignment horizontal="left" indent="1"/>
    </xf>
    <xf numFmtId="165" fontId="13" fillId="0" borderId="1" xfId="0" applyNumberFormat="1" applyFont="1" applyBorder="1" applyAlignment="1">
      <alignment horizontal="left" indent="1"/>
    </xf>
    <xf numFmtId="0" fontId="6" fillId="0" borderId="1" xfId="0" applyFont="1" applyBorder="1" applyAlignment="1">
      <alignment horizontal="right"/>
    </xf>
    <xf numFmtId="0" fontId="0" fillId="0" borderId="0" xfId="0" applyFont="1" applyFill="1" applyBorder="1" applyAlignment="1">
      <alignment horizontal="left" vertical="center" indent="1"/>
    </xf>
    <xf numFmtId="0" fontId="30" fillId="0" borderId="0" xfId="0" applyFont="1" applyBorder="1" applyAlignment="1">
      <alignment horizontal="left" vertical="center" indent="1"/>
    </xf>
    <xf numFmtId="0" fontId="30" fillId="0" borderId="0" xfId="0" applyFont="1" applyFill="1" applyBorder="1" applyAlignment="1">
      <alignment horizontal="left" vertical="center" indent="1"/>
    </xf>
    <xf numFmtId="0" fontId="4" fillId="0" borderId="0" xfId="0" applyFont="1" applyFill="1" applyBorder="1" applyAlignment="1">
      <alignment horizontal="left" vertical="center" indent="1"/>
    </xf>
    <xf numFmtId="43" fontId="6" fillId="0" borderId="0" xfId="2" applyFont="1">
      <protection locked="0"/>
    </xf>
    <xf numFmtId="0" fontId="2" fillId="0" borderId="0" xfId="4" applyFont="1" applyBorder="1" applyAlignment="1" applyProtection="1"/>
    <xf numFmtId="0" fontId="2" fillId="0" borderId="1" xfId="4" applyFont="1" applyBorder="1" applyAlignment="1" applyProtection="1">
      <alignment horizontal="left" indent="1"/>
    </xf>
    <xf numFmtId="0" fontId="4" fillId="0" borderId="0" xfId="0" applyFont="1" applyBorder="1">
      <alignment vertical="center"/>
    </xf>
    <xf numFmtId="0" fontId="4" fillId="0" borderId="0" xfId="0" applyFont="1" applyFill="1" applyBorder="1">
      <alignment vertical="center"/>
    </xf>
    <xf numFmtId="0" fontId="13" fillId="0" borderId="0" xfId="0" applyFont="1" applyFill="1" applyBorder="1">
      <alignment vertical="center"/>
    </xf>
    <xf numFmtId="43" fontId="0" fillId="0" borderId="7" xfId="0" applyNumberFormat="1" applyBorder="1">
      <alignment vertical="center"/>
    </xf>
    <xf numFmtId="0" fontId="6" fillId="8" borderId="1" xfId="0" applyFont="1" applyFill="1" applyBorder="1" applyAlignment="1"/>
    <xf numFmtId="43" fontId="6" fillId="8" borderId="1" xfId="2" applyFont="1" applyFill="1" applyBorder="1" applyAlignment="1" applyProtection="1"/>
    <xf numFmtId="0" fontId="6" fillId="10" borderId="1" xfId="0" applyFont="1" applyFill="1" applyBorder="1" applyAlignment="1"/>
    <xf numFmtId="43" fontId="6" fillId="10" borderId="1" xfId="0" applyNumberFormat="1" applyFont="1" applyFill="1" applyBorder="1" applyAlignment="1"/>
    <xf numFmtId="0" fontId="28" fillId="10" borderId="1" xfId="0" applyFont="1" applyFill="1" applyBorder="1" applyAlignment="1"/>
    <xf numFmtId="165" fontId="6" fillId="0" borderId="1" xfId="0" applyNumberFormat="1" applyFont="1" applyBorder="1" applyAlignment="1"/>
    <xf numFmtId="0" fontId="2" fillId="10" borderId="1" xfId="0" applyFont="1" applyFill="1" applyBorder="1" applyAlignment="1"/>
    <xf numFmtId="0" fontId="27" fillId="10" borderId="1" xfId="0" applyFont="1" applyFill="1" applyBorder="1" applyAlignment="1"/>
    <xf numFmtId="43" fontId="27" fillId="10" borderId="0" xfId="2" applyFont="1" applyFill="1">
      <protection locked="0"/>
    </xf>
    <xf numFmtId="165" fontId="13" fillId="10" borderId="1" xfId="1" applyNumberFormat="1" applyFont="1" applyFill="1" applyBorder="1" applyAlignment="1" applyProtection="1"/>
    <xf numFmtId="165" fontId="28" fillId="10" borderId="1" xfId="0" applyNumberFormat="1" applyFont="1" applyFill="1" applyBorder="1" applyAlignment="1"/>
    <xf numFmtId="0" fontId="2" fillId="0" borderId="0" xfId="4" applyFont="1" applyBorder="1" applyAlignment="1" applyProtection="1">
      <alignment horizontal="left" indent="1"/>
    </xf>
    <xf numFmtId="0" fontId="6" fillId="0" borderId="7" xfId="4" applyFont="1" applyBorder="1" applyAlignment="1" applyProtection="1"/>
    <xf numFmtId="43" fontId="2" fillId="0" borderId="0" xfId="5" applyFont="1" applyBorder="1" applyAlignment="1" applyProtection="1">
      <alignment horizontal="right"/>
    </xf>
    <xf numFmtId="43" fontId="19" fillId="0" borderId="18" xfId="4" applyNumberFormat="1" applyFont="1" applyBorder="1" applyAlignment="1" applyProtection="1">
      <alignment horizontal="right"/>
    </xf>
    <xf numFmtId="0" fontId="6" fillId="10" borderId="11" xfId="4" applyFont="1" applyFill="1" applyBorder="1" applyAlignment="1" applyProtection="1"/>
    <xf numFmtId="0" fontId="6" fillId="10" borderId="14" xfId="4" applyFont="1" applyFill="1" applyBorder="1" applyAlignment="1" applyProtection="1">
      <alignment horizontal="right"/>
    </xf>
    <xf numFmtId="0" fontId="6" fillId="10" borderId="8" xfId="4" applyFont="1" applyFill="1" applyBorder="1" applyAlignment="1" applyProtection="1"/>
    <xf numFmtId="43" fontId="6" fillId="10" borderId="14" xfId="4" applyNumberFormat="1" applyFont="1" applyFill="1" applyBorder="1" applyAlignment="1" applyProtection="1">
      <alignment horizontal="right"/>
    </xf>
    <xf numFmtId="43" fontId="6" fillId="0" borderId="14" xfId="4" applyNumberFormat="1" applyFont="1" applyBorder="1" applyAlignment="1" applyProtection="1">
      <alignment horizontal="right"/>
    </xf>
    <xf numFmtId="43" fontId="6" fillId="0" borderId="23" xfId="5" applyFont="1" applyBorder="1" applyAlignment="1" applyProtection="1">
      <alignment horizontal="right"/>
    </xf>
    <xf numFmtId="0" fontId="6" fillId="0" borderId="1" xfId="0" applyFont="1" applyBorder="1" applyAlignment="1">
      <alignment horizontal="left"/>
    </xf>
    <xf numFmtId="0" fontId="0" fillId="0" borderId="0" xfId="0" applyFill="1">
      <alignment vertical="center"/>
    </xf>
    <xf numFmtId="0" fontId="2" fillId="9" borderId="1" xfId="0" applyFont="1" applyFill="1" applyBorder="1" applyAlignment="1"/>
    <xf numFmtId="43" fontId="6" fillId="0" borderId="2" xfId="5" applyFont="1" applyBorder="1" applyAlignment="1" applyProtection="1"/>
    <xf numFmtId="43" fontId="19" fillId="0" borderId="0" xfId="4" applyNumberFormat="1" applyFill="1" applyBorder="1" applyAlignment="1" applyProtection="1"/>
    <xf numFmtId="0" fontId="2" fillId="0" borderId="2" xfId="4" applyFont="1" applyBorder="1" applyAlignment="1" applyProtection="1">
      <alignment horizontal="left" indent="1"/>
    </xf>
    <xf numFmtId="41" fontId="0" fillId="0" borderId="7" xfId="0" applyNumberFormat="1" applyBorder="1">
      <alignment vertical="center"/>
    </xf>
    <xf numFmtId="41" fontId="36" fillId="0" borderId="0" xfId="1" applyFont="1" applyAlignment="1" applyProtection="1"/>
    <xf numFmtId="41" fontId="35" fillId="0" borderId="0" xfId="0" applyNumberFormat="1" applyFont="1">
      <alignment vertical="center"/>
    </xf>
    <xf numFmtId="0" fontId="4" fillId="0" borderId="1" xfId="0" applyFont="1" applyBorder="1" applyAlignment="1">
      <alignment horizontal="center" vertical="center"/>
    </xf>
    <xf numFmtId="41" fontId="4" fillId="0" borderId="1" xfId="1" applyFont="1" applyBorder="1" applyAlignment="1" applyProtection="1"/>
    <xf numFmtId="41" fontId="4" fillId="0" borderId="1" xfId="1" applyFont="1" applyFill="1" applyBorder="1" applyAlignment="1" applyProtection="1"/>
    <xf numFmtId="0" fontId="32" fillId="0" borderId="0" xfId="0" applyFont="1">
      <alignment vertical="center"/>
    </xf>
    <xf numFmtId="41" fontId="30" fillId="0" borderId="0" xfId="0" applyNumberFormat="1" applyFont="1" applyBorder="1">
      <alignment vertical="center"/>
    </xf>
    <xf numFmtId="0" fontId="2" fillId="0" borderId="2" xfId="0" applyFont="1" applyBorder="1" applyAlignment="1">
      <alignment horizontal="right"/>
    </xf>
    <xf numFmtId="0" fontId="2" fillId="0" borderId="2" xfId="0" applyFont="1" applyBorder="1" applyAlignment="1">
      <alignment horizontal="left" indent="1"/>
    </xf>
    <xf numFmtId="43" fontId="4" fillId="0" borderId="2" xfId="2" applyFont="1" applyBorder="1" applyAlignment="1" applyProtection="1"/>
    <xf numFmtId="165" fontId="6" fillId="0" borderId="2" xfId="1" applyNumberFormat="1" applyFont="1" applyBorder="1" applyAlignment="1" applyProtection="1"/>
    <xf numFmtId="0" fontId="0" fillId="0" borderId="1" xfId="0" applyBorder="1">
      <alignment vertical="center"/>
    </xf>
    <xf numFmtId="0" fontId="4" fillId="0" borderId="1" xfId="0" applyFont="1" applyBorder="1">
      <alignment vertical="center"/>
    </xf>
    <xf numFmtId="164" fontId="25" fillId="0" borderId="1" xfId="2" applyNumberFormat="1" applyBorder="1">
      <protection locked="0"/>
    </xf>
    <xf numFmtId="0" fontId="0" fillId="0" borderId="5" xfId="0" applyBorder="1">
      <alignment vertical="center"/>
    </xf>
    <xf numFmtId="164" fontId="25" fillId="0" borderId="5" xfId="2" applyNumberFormat="1" applyBorder="1">
      <protection locked="0"/>
    </xf>
    <xf numFmtId="0" fontId="2" fillId="0" borderId="0" xfId="4" applyFont="1" applyFill="1" applyBorder="1" applyAlignment="1" applyProtection="1"/>
    <xf numFmtId="0" fontId="19" fillId="0" borderId="2" xfId="4" applyFont="1" applyBorder="1" applyAlignment="1" applyProtection="1">
      <alignment horizontal="right"/>
    </xf>
    <xf numFmtId="43" fontId="13" fillId="0" borderId="0" xfId="0" applyNumberFormat="1" applyFont="1" applyBorder="1">
      <alignment vertical="center"/>
    </xf>
    <xf numFmtId="43" fontId="2" fillId="0" borderId="9" xfId="2" applyFont="1" applyBorder="1">
      <protection locked="0"/>
    </xf>
    <xf numFmtId="43" fontId="14" fillId="0" borderId="1" xfId="0" applyNumberFormat="1" applyFont="1" applyBorder="1" applyAlignment="1"/>
    <xf numFmtId="0" fontId="13" fillId="3" borderId="1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0" borderId="1" xfId="0" applyFont="1" applyBorder="1" applyAlignment="1"/>
    <xf numFmtId="0" fontId="4" fillId="0" borderId="1" xfId="0" applyFont="1" applyBorder="1" applyAlignment="1">
      <alignment horizontal="left" indent="2"/>
    </xf>
    <xf numFmtId="0" fontId="4" fillId="4" borderId="1" xfId="0" applyFont="1" applyFill="1" applyBorder="1" applyAlignment="1"/>
    <xf numFmtId="0" fontId="4" fillId="0" borderId="1" xfId="4" applyFont="1" applyBorder="1" applyAlignment="1" applyProtection="1">
      <alignment horizontal="left" indent="1"/>
    </xf>
    <xf numFmtId="0" fontId="13" fillId="0" borderId="1" xfId="0" applyFont="1" applyBorder="1" applyAlignment="1">
      <alignment horizontal="left" indent="1"/>
    </xf>
    <xf numFmtId="0" fontId="13" fillId="4" borderId="24" xfId="0" applyFont="1" applyFill="1" applyBorder="1">
      <alignment vertical="center"/>
    </xf>
    <xf numFmtId="0" fontId="13" fillId="4" borderId="25" xfId="0" applyFont="1" applyFill="1" applyBorder="1">
      <alignment vertical="center"/>
    </xf>
    <xf numFmtId="43" fontId="4" fillId="0" borderId="1" xfId="0" applyNumberFormat="1" applyFont="1" applyBorder="1" applyAlignment="1"/>
    <xf numFmtId="43" fontId="13" fillId="0" borderId="0" xfId="2" applyFont="1">
      <protection locked="0"/>
    </xf>
    <xf numFmtId="43" fontId="13" fillId="0" borderId="1" xfId="0" applyNumberFormat="1" applyFont="1" applyBorder="1" applyAlignment="1"/>
    <xf numFmtId="43" fontId="13" fillId="4" borderId="26" xfId="0" applyNumberFormat="1" applyFont="1" applyFill="1" applyBorder="1">
      <alignment vertical="center"/>
    </xf>
    <xf numFmtId="43" fontId="13" fillId="4" borderId="1" xfId="0" applyNumberFormat="1" applyFont="1" applyFill="1" applyBorder="1">
      <alignment vertical="center"/>
    </xf>
    <xf numFmtId="43" fontId="13" fillId="0" borderId="0" xfId="0" applyNumberFormat="1" applyFont="1" applyFill="1" applyBorder="1">
      <alignment vertical="center"/>
    </xf>
    <xf numFmtId="0" fontId="13" fillId="0" borderId="18" xfId="0" applyFont="1" applyFill="1" applyBorder="1">
      <alignment vertical="center"/>
    </xf>
    <xf numFmtId="0" fontId="13" fillId="0" borderId="0" xfId="0" applyFont="1" applyBorder="1">
      <alignment vertical="center"/>
    </xf>
    <xf numFmtId="43" fontId="6" fillId="0" borderId="1" xfId="4" applyNumberFormat="1" applyFont="1" applyBorder="1" applyAlignment="1" applyProtection="1">
      <alignment horizontal="left"/>
    </xf>
    <xf numFmtId="43" fontId="28" fillId="0" borderId="8" xfId="2" applyFont="1" applyBorder="1">
      <protection locked="0"/>
    </xf>
    <xf numFmtId="0" fontId="22" fillId="0" borderId="2" xfId="4" applyFont="1" applyFill="1" applyBorder="1" applyAlignment="1" applyProtection="1">
      <alignment horizontal="left" indent="1"/>
    </xf>
    <xf numFmtId="41" fontId="22" fillId="0" borderId="2" xfId="7" applyFont="1" applyBorder="1" applyAlignment="1" applyProtection="1"/>
    <xf numFmtId="49" fontId="2" fillId="0" borderId="2" xfId="4" applyNumberFormat="1" applyFont="1" applyBorder="1" applyAlignment="1" applyProtection="1">
      <alignment horizontal="center"/>
    </xf>
    <xf numFmtId="167" fontId="2" fillId="6" borderId="1" xfId="0" applyNumberFormat="1" applyFont="1" applyFill="1" applyBorder="1" applyAlignment="1"/>
    <xf numFmtId="165" fontId="2" fillId="6" borderId="1" xfId="1" applyNumberFormat="1" applyFont="1" applyFill="1" applyBorder="1" applyAlignment="1" applyProtection="1"/>
    <xf numFmtId="167" fontId="2" fillId="0" borderId="5" xfId="3" applyNumberFormat="1" applyFont="1" applyBorder="1" applyAlignment="1" applyProtection="1"/>
    <xf numFmtId="43" fontId="25" fillId="0" borderId="0" xfId="2" applyNumberFormat="1">
      <protection locked="0"/>
    </xf>
    <xf numFmtId="167" fontId="2" fillId="0" borderId="1" xfId="3" applyNumberFormat="1" applyFont="1" applyFill="1" applyBorder="1" applyAlignment="1" applyProtection="1"/>
    <xf numFmtId="0" fontId="2" fillId="0" borderId="0" xfId="4" applyFont="1" applyAlignment="1" applyProtection="1"/>
    <xf numFmtId="0" fontId="10" fillId="0" borderId="0" xfId="4" applyFont="1" applyBorder="1" applyAlignment="1" applyProtection="1"/>
    <xf numFmtId="43" fontId="25" fillId="0" borderId="14" xfId="2" applyNumberFormat="1" applyBorder="1">
      <protection locked="0"/>
    </xf>
    <xf numFmtId="43" fontId="25" fillId="0" borderId="10" xfId="2" applyNumberFormat="1" applyBorder="1">
      <protection locked="0"/>
    </xf>
    <xf numFmtId="0" fontId="38" fillId="0" borderId="0" xfId="0" applyFont="1">
      <alignment vertical="center"/>
    </xf>
    <xf numFmtId="0" fontId="39" fillId="0" borderId="0" xfId="0" applyFont="1">
      <alignment vertical="center"/>
    </xf>
    <xf numFmtId="0" fontId="41" fillId="0" borderId="1" xfId="0" applyFont="1" applyBorder="1" applyAlignment="1">
      <alignment horizontal="left" vertical="top"/>
    </xf>
    <xf numFmtId="49" fontId="41" fillId="0" borderId="1" xfId="0" applyNumberFormat="1" applyFont="1" applyBorder="1" applyAlignment="1">
      <alignment horizontal="center" vertical="center"/>
    </xf>
    <xf numFmtId="49" fontId="45" fillId="0" borderId="1" xfId="0" applyNumberFormat="1" applyFont="1" applyBorder="1" applyAlignment="1">
      <alignment horizontal="center" vertical="center"/>
    </xf>
    <xf numFmtId="49" fontId="47" fillId="0" borderId="1" xfId="0" applyNumberFormat="1" applyFont="1" applyBorder="1" applyAlignment="1">
      <alignment horizontal="center" vertical="center" shrinkToFit="1"/>
    </xf>
    <xf numFmtId="49" fontId="49" fillId="0" borderId="1" xfId="0" applyNumberFormat="1" applyFont="1" applyBorder="1" applyAlignment="1">
      <alignment horizontal="center" vertical="center" shrinkToFit="1"/>
    </xf>
    <xf numFmtId="49" fontId="51" fillId="0" borderId="1" xfId="0" applyNumberFormat="1" applyFont="1" applyBorder="1" applyAlignment="1">
      <alignment horizontal="center" vertical="center"/>
    </xf>
    <xf numFmtId="49" fontId="52" fillId="0" borderId="1" xfId="0" applyNumberFormat="1" applyFont="1" applyBorder="1" applyAlignment="1">
      <alignment horizontal="center" vertical="center" shrinkToFit="1"/>
    </xf>
    <xf numFmtId="49" fontId="55" fillId="0" borderId="1" xfId="0" applyNumberFormat="1" applyFont="1" applyBorder="1" applyAlignment="1">
      <alignment horizontal="center" vertical="center" shrinkToFit="1"/>
    </xf>
    <xf numFmtId="49" fontId="47" fillId="0" borderId="1" xfId="0" applyNumberFormat="1" applyFont="1" applyBorder="1" applyAlignment="1">
      <alignment horizontal="center" vertical="center"/>
    </xf>
    <xf numFmtId="0" fontId="55" fillId="0" borderId="1" xfId="0" applyFont="1" applyBorder="1" applyAlignment="1">
      <alignment horizontal="left" vertical="top"/>
    </xf>
    <xf numFmtId="49" fontId="46" fillId="0" borderId="1" xfId="0" applyNumberFormat="1" applyFont="1" applyBorder="1" applyAlignment="1">
      <alignment horizontal="center" vertical="top" shrinkToFit="1"/>
    </xf>
    <xf numFmtId="49" fontId="41" fillId="0" borderId="1" xfId="0" applyNumberFormat="1" applyFont="1" applyBorder="1" applyAlignment="1">
      <alignment horizontal="center" vertical="top"/>
    </xf>
    <xf numFmtId="0" fontId="46" fillId="0" borderId="1" xfId="0" applyFont="1" applyBorder="1" applyAlignment="1">
      <alignment horizontal="left" vertical="top"/>
    </xf>
    <xf numFmtId="49" fontId="42" fillId="0" borderId="1" xfId="0" applyNumberFormat="1" applyFont="1" applyBorder="1" applyAlignment="1">
      <alignment horizontal="center" vertical="top" shrinkToFit="1"/>
    </xf>
    <xf numFmtId="49" fontId="53" fillId="0" borderId="1" xfId="0" applyNumberFormat="1" applyFont="1" applyBorder="1" applyAlignment="1">
      <alignment horizontal="center" vertical="top" shrinkToFit="1"/>
    </xf>
    <xf numFmtId="0" fontId="43" fillId="0" borderId="1" xfId="0" applyFont="1" applyBorder="1" applyAlignment="1">
      <alignment horizontal="left" vertical="top"/>
    </xf>
    <xf numFmtId="49" fontId="47" fillId="0" borderId="1" xfId="0" applyNumberFormat="1" applyFont="1" applyBorder="1" applyAlignment="1">
      <alignment horizontal="center" vertical="top" shrinkToFit="1"/>
    </xf>
    <xf numFmtId="49" fontId="55" fillId="0" borderId="1" xfId="0" applyNumberFormat="1" applyFont="1" applyBorder="1" applyAlignment="1">
      <alignment horizontal="center" vertical="top"/>
    </xf>
    <xf numFmtId="49" fontId="52" fillId="0" borderId="1" xfId="0" applyNumberFormat="1" applyFont="1" applyBorder="1" applyAlignment="1">
      <alignment horizontal="center" vertical="top"/>
    </xf>
    <xf numFmtId="49" fontId="57" fillId="0" borderId="1" xfId="0" applyNumberFormat="1" applyFont="1" applyBorder="1" applyAlignment="1">
      <alignment horizontal="center" vertical="top"/>
    </xf>
    <xf numFmtId="164" fontId="58" fillId="0" borderId="0" xfId="2" applyNumberFormat="1" applyFont="1" applyProtection="1"/>
    <xf numFmtId="0" fontId="2" fillId="12" borderId="1" xfId="0" applyFont="1" applyFill="1" applyBorder="1" applyAlignment="1">
      <alignment horizontal="left"/>
    </xf>
    <xf numFmtId="0" fontId="6" fillId="0" borderId="0" xfId="4" applyFont="1" applyAlignment="1" applyProtection="1">
      <alignment horizontal="center"/>
    </xf>
    <xf numFmtId="0" fontId="59" fillId="0" borderId="1" xfId="0" applyFont="1" applyBorder="1" applyAlignment="1">
      <alignment horizontal="left" vertical="top"/>
    </xf>
    <xf numFmtId="43" fontId="2" fillId="0" borderId="2" xfId="4" applyNumberFormat="1" applyFont="1" applyBorder="1" applyAlignment="1" applyProtection="1"/>
    <xf numFmtId="9" fontId="0" fillId="0" borderId="0" xfId="8" applyFont="1" applyAlignment="1">
      <alignment vertical="center"/>
    </xf>
    <xf numFmtId="9" fontId="0" fillId="0" borderId="0" xfId="0" applyNumberFormat="1">
      <alignment vertical="center"/>
    </xf>
    <xf numFmtId="43" fontId="13" fillId="0" borderId="0" xfId="0" applyNumberFormat="1" applyFont="1">
      <alignment vertical="center"/>
    </xf>
    <xf numFmtId="43" fontId="14" fillId="0" borderId="0" xfId="0" applyNumberFormat="1" applyFont="1" applyAlignment="1"/>
    <xf numFmtId="0" fontId="2" fillId="0" borderId="1" xfId="0" applyFont="1" applyBorder="1" applyAlignment="1">
      <alignment horizontal="center" vertical="center"/>
    </xf>
    <xf numFmtId="41" fontId="2" fillId="0" borderId="1" xfId="0" applyNumberFormat="1" applyFont="1" applyBorder="1" applyAlignment="1"/>
    <xf numFmtId="43" fontId="25" fillId="0" borderId="1" xfId="2" applyBorder="1">
      <protection locked="0"/>
    </xf>
    <xf numFmtId="1" fontId="40" fillId="0" borderId="1" xfId="0" quotePrefix="1" applyNumberFormat="1" applyFont="1" applyBorder="1" applyAlignment="1">
      <alignment horizontal="center" vertical="center" shrinkToFit="1"/>
    </xf>
    <xf numFmtId="0" fontId="41" fillId="0" borderId="1" xfId="9" applyFont="1" applyBorder="1" applyAlignment="1">
      <alignment horizontal="left" vertical="top"/>
    </xf>
    <xf numFmtId="0" fontId="41" fillId="0" borderId="1" xfId="9" applyFont="1" applyBorder="1" applyAlignment="1">
      <alignment horizontal="center" vertical="top"/>
    </xf>
    <xf numFmtId="1" fontId="46" fillId="0" borderId="1" xfId="9" applyNumberFormat="1" applyFont="1" applyBorder="1" applyAlignment="1">
      <alignment horizontal="center" vertical="top" shrinkToFit="1"/>
    </xf>
    <xf numFmtId="1" fontId="57" fillId="0" borderId="1" xfId="9" applyNumberFormat="1" applyFont="1" applyBorder="1" applyAlignment="1">
      <alignment horizontal="center" vertical="top" shrinkToFit="1"/>
    </xf>
    <xf numFmtId="1" fontId="45" fillId="0" borderId="1" xfId="9" applyNumberFormat="1" applyFont="1" applyBorder="1" applyAlignment="1">
      <alignment horizontal="center" vertical="top" shrinkToFit="1"/>
    </xf>
    <xf numFmtId="0" fontId="43" fillId="0" borderId="1" xfId="9" applyFont="1" applyBorder="1" applyAlignment="1">
      <alignment horizontal="left" vertical="top"/>
    </xf>
    <xf numFmtId="0" fontId="55" fillId="0" borderId="1" xfId="9" applyFont="1" applyBorder="1" applyAlignment="1">
      <alignment horizontal="left" vertical="top"/>
    </xf>
    <xf numFmtId="1" fontId="50" fillId="0" borderId="1" xfId="9" applyNumberFormat="1" applyFont="1" applyBorder="1" applyAlignment="1">
      <alignment horizontal="center" vertical="top" shrinkToFit="1"/>
    </xf>
    <xf numFmtId="1" fontId="47" fillId="0" borderId="1" xfId="9" applyNumberFormat="1" applyFont="1" applyBorder="1" applyAlignment="1">
      <alignment horizontal="center" vertical="top" shrinkToFit="1"/>
    </xf>
    <xf numFmtId="0" fontId="41" fillId="0" borderId="11" xfId="0" applyFont="1" applyBorder="1" applyAlignment="1">
      <alignment horizontal="left" vertical="top"/>
    </xf>
    <xf numFmtId="0" fontId="55" fillId="0" borderId="11" xfId="0" applyFont="1" applyBorder="1" applyAlignment="1">
      <alignment horizontal="left" vertical="top"/>
    </xf>
    <xf numFmtId="0" fontId="46" fillId="0" borderId="11" xfId="0" applyFont="1" applyBorder="1" applyAlignment="1">
      <alignment horizontal="left" vertical="top"/>
    </xf>
    <xf numFmtId="0" fontId="43" fillId="0" borderId="11" xfId="0" applyFont="1" applyBorder="1" applyAlignment="1">
      <alignment horizontal="left" vertical="top"/>
    </xf>
    <xf numFmtId="1" fontId="57" fillId="0" borderId="11" xfId="9" applyNumberFormat="1" applyFont="1" applyBorder="1" applyAlignment="1">
      <alignment horizontal="center" vertical="top" shrinkToFit="1"/>
    </xf>
    <xf numFmtId="0" fontId="41" fillId="0" borderId="11" xfId="9" applyFont="1" applyBorder="1" applyAlignment="1">
      <alignment horizontal="center" vertical="top"/>
    </xf>
    <xf numFmtId="1" fontId="45" fillId="0" borderId="11" xfId="9" applyNumberFormat="1" applyFont="1" applyBorder="1" applyAlignment="1">
      <alignment horizontal="center" vertical="top" shrinkToFit="1"/>
    </xf>
    <xf numFmtId="1" fontId="46" fillId="0" borderId="11" xfId="9" applyNumberFormat="1" applyFont="1" applyBorder="1" applyAlignment="1">
      <alignment horizontal="center" vertical="top" shrinkToFit="1"/>
    </xf>
    <xf numFmtId="1" fontId="50" fillId="0" borderId="11" xfId="9" applyNumberFormat="1" applyFont="1" applyBorder="1" applyAlignment="1">
      <alignment horizontal="center" vertical="top" shrinkToFit="1"/>
    </xf>
    <xf numFmtId="1" fontId="47" fillId="0" borderId="11" xfId="9" applyNumberFormat="1" applyFont="1" applyBorder="1" applyAlignment="1">
      <alignment horizontal="center" vertical="top" shrinkToFit="1"/>
    </xf>
    <xf numFmtId="43" fontId="4" fillId="0" borderId="1" xfId="0" applyNumberFormat="1" applyFont="1" applyBorder="1">
      <alignment vertical="center"/>
    </xf>
    <xf numFmtId="43" fontId="0" fillId="0" borderId="1" xfId="0" applyNumberFormat="1" applyBorder="1">
      <alignment vertical="center"/>
    </xf>
    <xf numFmtId="0" fontId="63" fillId="0" borderId="0" xfId="0" applyFont="1">
      <alignment vertical="center"/>
    </xf>
    <xf numFmtId="0" fontId="6" fillId="4" borderId="27" xfId="0" applyFont="1" applyFill="1" applyBorder="1">
      <alignment vertical="center"/>
    </xf>
    <xf numFmtId="43" fontId="6" fillId="4" borderId="27" xfId="0" applyNumberFormat="1" applyFont="1" applyFill="1" applyBorder="1">
      <alignment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62" fillId="0" borderId="11" xfId="0" applyFont="1" applyBorder="1" applyAlignment="1">
      <alignment horizontal="center" vertical="center" wrapText="1"/>
    </xf>
    <xf numFmtId="0" fontId="62" fillId="0" borderId="1" xfId="0" applyFont="1" applyBorder="1" applyAlignment="1">
      <alignment horizontal="center" vertical="center" wrapText="1"/>
    </xf>
    <xf numFmtId="43" fontId="6" fillId="0" borderId="1" xfId="2" applyFont="1" applyBorder="1" applyAlignment="1">
      <alignment horizontal="center" vertical="center" wrapText="1"/>
      <protection locked="0"/>
    </xf>
    <xf numFmtId="0" fontId="4" fillId="0" borderId="1" xfId="0" applyFont="1" applyBorder="1" applyAlignment="1">
      <alignment wrapText="1"/>
    </xf>
    <xf numFmtId="0" fontId="2" fillId="0" borderId="2" xfId="4" applyFont="1" applyBorder="1" applyAlignment="1" applyProtection="1"/>
    <xf numFmtId="43" fontId="2" fillId="0" borderId="0" xfId="0" applyNumberFormat="1" applyFont="1" applyFill="1" applyAlignment="1"/>
    <xf numFmtId="1" fontId="0" fillId="0" borderId="0" xfId="0" applyNumberFormat="1">
      <alignment vertical="center"/>
    </xf>
    <xf numFmtId="0" fontId="2" fillId="0" borderId="2" xfId="4" quotePrefix="1" applyFont="1" applyBorder="1" applyAlignment="1" applyProtection="1">
      <alignment horizontal="right"/>
    </xf>
    <xf numFmtId="41" fontId="6" fillId="0" borderId="1" xfId="7" applyFont="1" applyBorder="1" applyAlignment="1" applyProtection="1"/>
    <xf numFmtId="0" fontId="4" fillId="0" borderId="0" xfId="0" applyFont="1" applyBorder="1" applyAlignment="1">
      <alignment horizontal="left" vertical="center" indent="1"/>
    </xf>
    <xf numFmtId="43" fontId="25" fillId="0" borderId="17" xfId="2" applyBorder="1">
      <protection locked="0"/>
    </xf>
    <xf numFmtId="43" fontId="25" fillId="0" borderId="18" xfId="2" applyBorder="1">
      <protection locked="0"/>
    </xf>
    <xf numFmtId="43" fontId="25" fillId="0" borderId="0" xfId="2" applyBorder="1">
      <protection locked="0"/>
    </xf>
    <xf numFmtId="43" fontId="6" fillId="0" borderId="0" xfId="2" applyFont="1" applyBorder="1">
      <protection locked="0"/>
    </xf>
    <xf numFmtId="41" fontId="13" fillId="0" borderId="0" xfId="0" applyNumberFormat="1" applyFont="1" applyBorder="1">
      <alignment vertical="center"/>
    </xf>
    <xf numFmtId="0" fontId="3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4" fillId="0" borderId="22" xfId="4" applyFont="1" applyBorder="1" applyAlignment="1" applyProtection="1"/>
    <xf numFmtId="0" fontId="64" fillId="0" borderId="7" xfId="4" applyFont="1" applyBorder="1" applyAlignment="1" applyProtection="1"/>
    <xf numFmtId="43" fontId="64" fillId="0" borderId="7" xfId="4" applyNumberFormat="1" applyFont="1" applyBorder="1" applyAlignment="1" applyProtection="1"/>
    <xf numFmtId="0" fontId="64" fillId="0" borderId="20" xfId="4" applyFont="1" applyBorder="1" applyAlignment="1" applyProtection="1"/>
    <xf numFmtId="0" fontId="64" fillId="0" borderId="0" xfId="4" applyFont="1" applyAlignment="1" applyProtection="1"/>
    <xf numFmtId="0" fontId="65" fillId="0" borderId="0" xfId="4" applyFont="1" applyAlignment="1" applyProtection="1"/>
    <xf numFmtId="41" fontId="2" fillId="0" borderId="0" xfId="1" applyFont="1" applyFill="1" applyBorder="1" applyAlignment="1" applyProtection="1"/>
    <xf numFmtId="0" fontId="8" fillId="0" borderId="0" xfId="4" applyFont="1" applyAlignment="1" applyProtection="1">
      <alignment horizontal="center"/>
    </xf>
    <xf numFmtId="0" fontId="66" fillId="0" borderId="0" xfId="0" applyFont="1" applyAlignment="1">
      <alignment horizontal="left"/>
    </xf>
    <xf numFmtId="41" fontId="6" fillId="0" borderId="4" xfId="7" applyFont="1" applyBorder="1" applyAlignment="1" applyProtection="1"/>
    <xf numFmtId="164" fontId="25" fillId="0" borderId="0" xfId="2" applyNumberFormat="1">
      <protection locked="0"/>
    </xf>
    <xf numFmtId="43" fontId="25" fillId="0" borderId="0" xfId="2" applyFill="1">
      <protection locked="0"/>
    </xf>
    <xf numFmtId="0" fontId="2" fillId="0" borderId="0" xfId="0" applyFont="1" applyBorder="1" applyAlignment="1"/>
    <xf numFmtId="164" fontId="0" fillId="0" borderId="1" xfId="2" applyNumberFormat="1" applyFont="1" applyBorder="1" applyProtection="1"/>
    <xf numFmtId="41" fontId="2" fillId="0" borderId="28" xfId="1" applyFont="1" applyFill="1" applyBorder="1" applyAlignment="1" applyProtection="1"/>
    <xf numFmtId="164" fontId="4" fillId="0" borderId="1" xfId="2" applyNumberFormat="1" applyFont="1" applyBorder="1" applyProtection="1"/>
    <xf numFmtId="0" fontId="53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center"/>
    </xf>
    <xf numFmtId="43" fontId="19" fillId="0" borderId="2" xfId="4" applyNumberFormat="1" applyFont="1" applyFill="1" applyBorder="1" applyAlignment="1" applyProtection="1"/>
    <xf numFmtId="41" fontId="35" fillId="0" borderId="0" xfId="0" applyNumberFormat="1" applyFont="1" applyBorder="1">
      <alignment vertical="center"/>
    </xf>
    <xf numFmtId="165" fontId="4" fillId="0" borderId="1" xfId="0" applyNumberFormat="1" applyFont="1" applyBorder="1" applyAlignment="1"/>
    <xf numFmtId="41" fontId="10" fillId="0" borderId="0" xfId="0" applyNumberFormat="1" applyFont="1" applyAlignment="1"/>
    <xf numFmtId="167" fontId="0" fillId="0" borderId="0" xfId="0" applyNumberFormat="1">
      <alignment vertical="center"/>
    </xf>
    <xf numFmtId="167" fontId="2" fillId="0" borderId="0" xfId="0" applyNumberFormat="1" applyFont="1" applyAlignment="1"/>
    <xf numFmtId="167" fontId="2" fillId="5" borderId="6" xfId="0" applyNumberFormat="1" applyFont="1" applyFill="1" applyBorder="1" applyAlignment="1">
      <alignment horizontal="center" vertical="center"/>
    </xf>
    <xf numFmtId="167" fontId="2" fillId="6" borderId="4" xfId="0" applyNumberFormat="1" applyFont="1" applyFill="1" applyBorder="1" applyAlignment="1">
      <alignment horizontal="center" vertical="center"/>
    </xf>
    <xf numFmtId="167" fontId="2" fillId="0" borderId="1" xfId="0" applyNumberFormat="1" applyFont="1" applyBorder="1" applyAlignment="1"/>
    <xf numFmtId="167" fontId="2" fillId="0" borderId="0" xfId="0" applyNumberFormat="1" applyFont="1" applyFill="1" applyAlignment="1"/>
    <xf numFmtId="49" fontId="0" fillId="0" borderId="6" xfId="0" applyNumberForma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43" fontId="25" fillId="0" borderId="4" xfId="2" applyBorder="1">
      <protection locked="0"/>
    </xf>
    <xf numFmtId="43" fontId="2" fillId="0" borderId="0" xfId="4" applyNumberFormat="1" applyFont="1" applyFill="1" applyBorder="1" applyAlignment="1" applyProtection="1">
      <alignment horizontal="right"/>
    </xf>
    <xf numFmtId="4" fontId="67" fillId="0" borderId="0" xfId="0" applyNumberFormat="1" applyFont="1">
      <alignment vertical="center"/>
    </xf>
    <xf numFmtId="169" fontId="68" fillId="0" borderId="0" xfId="0" applyNumberFormat="1" applyFont="1">
      <alignment vertical="center"/>
    </xf>
    <xf numFmtId="0" fontId="33" fillId="0" borderId="0" xfId="4" applyFont="1" applyAlignment="1" applyProtection="1"/>
    <xf numFmtId="0" fontId="33" fillId="0" borderId="0" xfId="4" applyFont="1" applyBorder="1" applyAlignment="1" applyProtection="1"/>
    <xf numFmtId="41" fontId="33" fillId="0" borderId="0" xfId="7" applyFont="1" applyBorder="1" applyAlignment="1" applyProtection="1"/>
    <xf numFmtId="43" fontId="33" fillId="0" borderId="0" xfId="4" applyNumberFormat="1" applyFont="1" applyBorder="1" applyAlignment="1" applyProtection="1"/>
    <xf numFmtId="0" fontId="33" fillId="0" borderId="0" xfId="4" applyFont="1" applyBorder="1" applyAlignment="1" applyProtection="1">
      <alignment horizontal="right"/>
    </xf>
    <xf numFmtId="0" fontId="33" fillId="0" borderId="0" xfId="0" applyFont="1">
      <alignment vertical="center"/>
    </xf>
    <xf numFmtId="41" fontId="10" fillId="0" borderId="0" xfId="4" applyNumberFormat="1" applyFont="1" applyAlignment="1" applyProtection="1"/>
    <xf numFmtId="41" fontId="13" fillId="0" borderId="17" xfId="0" applyNumberFormat="1" applyFont="1" applyBorder="1">
      <alignment vertical="center"/>
    </xf>
    <xf numFmtId="0" fontId="32" fillId="0" borderId="17" xfId="0" applyFont="1" applyBorder="1">
      <alignment vertical="center"/>
    </xf>
    <xf numFmtId="0" fontId="69" fillId="0" borderId="0" xfId="4" applyFont="1" applyAlignment="1" applyProtection="1"/>
    <xf numFmtId="41" fontId="2" fillId="9" borderId="1" xfId="1" applyFont="1" applyFill="1" applyBorder="1" applyAlignment="1" applyProtection="1"/>
    <xf numFmtId="164" fontId="25" fillId="9" borderId="1" xfId="2" applyNumberFormat="1" applyFill="1" applyBorder="1">
      <protection locked="0"/>
    </xf>
    <xf numFmtId="41" fontId="6" fillId="9" borderId="1" xfId="1" applyFont="1" applyFill="1" applyBorder="1" applyAlignment="1" applyProtection="1">
      <alignment vertical="center"/>
    </xf>
    <xf numFmtId="0" fontId="6" fillId="9" borderId="1" xfId="0" applyFont="1" applyFill="1" applyBorder="1">
      <alignment vertical="center"/>
    </xf>
    <xf numFmtId="164" fontId="25" fillId="0" borderId="1" xfId="2" applyNumberFormat="1" applyFill="1" applyBorder="1">
      <protection locked="0"/>
    </xf>
    <xf numFmtId="41" fontId="2" fillId="9" borderId="1" xfId="1" applyFont="1" applyFill="1" applyBorder="1" applyAlignment="1" applyProtection="1">
      <alignment vertical="center"/>
    </xf>
    <xf numFmtId="0" fontId="2" fillId="9" borderId="1" xfId="0" applyFont="1" applyFill="1" applyBorder="1">
      <alignment vertical="center"/>
    </xf>
    <xf numFmtId="164" fontId="25" fillId="15" borderId="1" xfId="2" applyNumberFormat="1" applyFill="1" applyBorder="1">
      <protection locked="0"/>
    </xf>
    <xf numFmtId="43" fontId="2" fillId="0" borderId="0" xfId="2" applyFont="1" applyBorder="1">
      <protection locked="0"/>
    </xf>
    <xf numFmtId="43" fontId="11" fillId="0" borderId="0" xfId="2" applyFont="1" applyBorder="1">
      <protection locked="0"/>
    </xf>
    <xf numFmtId="165" fontId="4" fillId="0" borderId="0" xfId="1" applyNumberFormat="1" applyFont="1" applyBorder="1" applyAlignment="1" applyProtection="1"/>
    <xf numFmtId="164" fontId="0" fillId="0" borderId="0" xfId="2" applyNumberFormat="1" applyFont="1" applyBorder="1" applyProtection="1"/>
    <xf numFmtId="166" fontId="4" fillId="0" borderId="1" xfId="3" applyFont="1" applyFill="1" applyBorder="1" applyAlignment="1" applyProtection="1"/>
    <xf numFmtId="41" fontId="2" fillId="13" borderId="1" xfId="1" applyFont="1" applyFill="1" applyBorder="1" applyAlignment="1" applyProtection="1"/>
    <xf numFmtId="0" fontId="0" fillId="6" borderId="0" xfId="0" applyFill="1">
      <alignment vertical="center"/>
    </xf>
    <xf numFmtId="43" fontId="25" fillId="6" borderId="0" xfId="2" applyFill="1">
      <protection locked="0"/>
    </xf>
    <xf numFmtId="43" fontId="2" fillId="0" borderId="0" xfId="6" applyNumberFormat="1" applyFont="1" applyAlignment="1" applyProtection="1"/>
    <xf numFmtId="0" fontId="2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5" fontId="2" fillId="0" borderId="0" xfId="1" applyNumberFormat="1" applyFont="1" applyAlignment="1" applyProtection="1"/>
    <xf numFmtId="165" fontId="0" fillId="0" borderId="0" xfId="0" applyNumberFormat="1">
      <alignment vertical="center"/>
    </xf>
    <xf numFmtId="165" fontId="2" fillId="5" borderId="6" xfId="0" applyNumberFormat="1" applyFont="1" applyFill="1" applyBorder="1" applyAlignment="1">
      <alignment horizontal="center" vertical="center"/>
    </xf>
    <xf numFmtId="165" fontId="2" fillId="0" borderId="0" xfId="0" applyNumberFormat="1" applyFont="1" applyAlignment="1"/>
    <xf numFmtId="165" fontId="2" fillId="0" borderId="1" xfId="0" applyNumberFormat="1" applyFont="1" applyFill="1" applyBorder="1" applyAlignment="1"/>
    <xf numFmtId="165" fontId="2" fillId="6" borderId="1" xfId="0" applyNumberFormat="1" applyFont="1" applyFill="1" applyBorder="1" applyAlignment="1"/>
    <xf numFmtId="165" fontId="2" fillId="6" borderId="4" xfId="0" applyNumberFormat="1" applyFont="1" applyFill="1" applyBorder="1" applyAlignment="1">
      <alignment horizontal="center" vertical="center"/>
    </xf>
    <xf numFmtId="165" fontId="2" fillId="0" borderId="5" xfId="3" applyNumberFormat="1" applyFont="1" applyBorder="1" applyAlignment="1" applyProtection="1"/>
    <xf numFmtId="165" fontId="2" fillId="0" borderId="1" xfId="0" applyNumberFormat="1" applyFont="1" applyBorder="1" applyAlignment="1"/>
    <xf numFmtId="165" fontId="30" fillId="0" borderId="1" xfId="0" applyNumberFormat="1" applyFont="1" applyBorder="1" applyAlignment="1"/>
    <xf numFmtId="165" fontId="2" fillId="0" borderId="1" xfId="3" applyNumberFormat="1" applyFont="1" applyBorder="1" applyAlignment="1" applyProtection="1"/>
    <xf numFmtId="165" fontId="25" fillId="0" borderId="0" xfId="2" applyNumberFormat="1">
      <protection locked="0"/>
    </xf>
    <xf numFmtId="165" fontId="2" fillId="0" borderId="0" xfId="2" applyNumberFormat="1" applyFont="1">
      <protection locked="0"/>
    </xf>
    <xf numFmtId="165" fontId="2" fillId="0" borderId="0" xfId="0" applyNumberFormat="1" applyFont="1" applyFill="1" applyAlignment="1"/>
    <xf numFmtId="165" fontId="11" fillId="0" borderId="0" xfId="1" applyNumberFormat="1" applyFont="1" applyAlignment="1" applyProtection="1"/>
    <xf numFmtId="43" fontId="14" fillId="0" borderId="10" xfId="4" applyNumberFormat="1" applyFont="1" applyBorder="1" applyAlignment="1" applyProtection="1">
      <alignment horizontal="right"/>
    </xf>
    <xf numFmtId="43" fontId="2" fillId="0" borderId="3" xfId="4" applyNumberFormat="1" applyFont="1" applyBorder="1" applyAlignment="1" applyProtection="1"/>
    <xf numFmtId="4" fontId="67" fillId="0" borderId="2" xfId="0" applyNumberFormat="1" applyFont="1" applyBorder="1">
      <alignment vertical="center"/>
    </xf>
    <xf numFmtId="4" fontId="67" fillId="0" borderId="5" xfId="0" applyNumberFormat="1" applyFont="1" applyBorder="1">
      <alignment vertical="center"/>
    </xf>
    <xf numFmtId="43" fontId="0" fillId="0" borderId="18" xfId="0" applyNumberFormat="1" applyBorder="1">
      <alignment vertical="center"/>
    </xf>
    <xf numFmtId="17" fontId="2" fillId="0" borderId="1" xfId="0" quotePrefix="1" applyNumberFormat="1" applyFont="1" applyBorder="1" applyAlignment="1"/>
    <xf numFmtId="10" fontId="0" fillId="0" borderId="0" xfId="8" applyNumberFormat="1" applyFont="1" applyAlignment="1">
      <alignment vertical="center"/>
    </xf>
    <xf numFmtId="43" fontId="25" fillId="0" borderId="5" xfId="2" applyBorder="1">
      <protection locked="0"/>
    </xf>
    <xf numFmtId="43" fontId="25" fillId="0" borderId="29" xfId="2" applyBorder="1">
      <protection locked="0"/>
    </xf>
    <xf numFmtId="0" fontId="4" fillId="16" borderId="1" xfId="0" applyFont="1" applyFill="1" applyBorder="1" applyAlignment="1"/>
    <xf numFmtId="166" fontId="2" fillId="0" borderId="0" xfId="0" applyNumberFormat="1" applyFont="1" applyFill="1" applyAlignment="1"/>
    <xf numFmtId="43" fontId="19" fillId="0" borderId="0" xfId="4" applyNumberFormat="1" applyAlignment="1" applyProtection="1"/>
    <xf numFmtId="43" fontId="14" fillId="0" borderId="0" xfId="5" applyFont="1" applyBorder="1" applyAlignment="1" applyProtection="1">
      <alignment horizontal="right"/>
    </xf>
    <xf numFmtId="43" fontId="2" fillId="0" borderId="2" xfId="5" applyFont="1" applyFill="1" applyBorder="1" applyAlignment="1" applyProtection="1"/>
    <xf numFmtId="0" fontId="19" fillId="0" borderId="13" xfId="4" applyFont="1" applyBorder="1" applyAlignment="1" applyProtection="1"/>
    <xf numFmtId="0" fontId="19" fillId="0" borderId="13" xfId="4" applyFont="1" applyBorder="1" applyAlignment="1" applyProtection="1">
      <alignment horizontal="left"/>
    </xf>
    <xf numFmtId="0" fontId="19" fillId="0" borderId="13" xfId="4" applyFont="1" applyFill="1" applyBorder="1" applyAlignment="1" applyProtection="1"/>
    <xf numFmtId="41" fontId="2" fillId="0" borderId="13" xfId="7" applyFont="1" applyFill="1" applyBorder="1" applyAlignment="1" applyProtection="1"/>
    <xf numFmtId="41" fontId="2" fillId="0" borderId="13" xfId="7" applyFont="1" applyBorder="1" applyAlignment="1" applyProtection="1"/>
    <xf numFmtId="0" fontId="26" fillId="0" borderId="13" xfId="4" applyFont="1" applyBorder="1" applyAlignment="1" applyProtection="1"/>
    <xf numFmtId="0" fontId="70" fillId="0" borderId="0" xfId="4" applyFont="1" applyAlignment="1" applyProtection="1">
      <alignment horizontal="center" vertical="center"/>
    </xf>
    <xf numFmtId="0" fontId="20" fillId="0" borderId="5" xfId="4" applyFont="1" applyBorder="1" applyAlignment="1" applyProtection="1">
      <alignment horizontal="center" vertical="center"/>
    </xf>
    <xf numFmtId="0" fontId="20" fillId="0" borderId="5" xfId="4" applyFont="1" applyFill="1" applyBorder="1" applyAlignment="1" applyProtection="1">
      <alignment horizontal="center" vertical="center"/>
    </xf>
    <xf numFmtId="43" fontId="20" fillId="0" borderId="5" xfId="4" applyNumberFormat="1" applyFont="1" applyBorder="1" applyAlignment="1" applyProtection="1">
      <alignment horizontal="center" vertical="center"/>
    </xf>
    <xf numFmtId="0" fontId="71" fillId="0" borderId="5" xfId="4" applyFont="1" applyBorder="1" applyAlignment="1" applyProtection="1">
      <alignment horizontal="center" vertical="center"/>
    </xf>
    <xf numFmtId="0" fontId="70" fillId="0" borderId="0" xfId="4" applyFont="1" applyBorder="1" applyAlignment="1" applyProtection="1">
      <alignment horizontal="center" vertical="center"/>
    </xf>
    <xf numFmtId="0" fontId="70" fillId="0" borderId="0" xfId="0" applyFont="1" applyAlignment="1">
      <alignment horizontal="center" vertical="center"/>
    </xf>
    <xf numFmtId="0" fontId="6" fillId="0" borderId="2" xfId="4" applyFont="1" applyFill="1" applyBorder="1" applyAlignment="1" applyProtection="1">
      <alignment horizontal="center"/>
    </xf>
    <xf numFmtId="0" fontId="20" fillId="0" borderId="4" xfId="4" applyFont="1" applyFill="1" applyBorder="1" applyAlignment="1" applyProtection="1">
      <alignment horizontal="center" vertical="center" wrapText="1"/>
    </xf>
    <xf numFmtId="0" fontId="20" fillId="0" borderId="4" xfId="4" applyFont="1" applyBorder="1" applyAlignment="1" applyProtection="1">
      <alignment horizontal="center" wrapText="1"/>
    </xf>
    <xf numFmtId="0" fontId="20" fillId="0" borderId="4" xfId="4" applyFont="1" applyFill="1" applyBorder="1" applyAlignment="1" applyProtection="1">
      <alignment horizontal="center" wrapText="1"/>
    </xf>
    <xf numFmtId="0" fontId="2" fillId="6" borderId="6" xfId="0" applyFont="1" applyFill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/>
    <xf numFmtId="164" fontId="58" fillId="0" borderId="1" xfId="2" applyNumberFormat="1" applyFont="1" applyBorder="1" applyProtection="1"/>
    <xf numFmtId="14" fontId="4" fillId="0" borderId="1" xfId="0" applyNumberFormat="1" applyFont="1" applyBorder="1" applyAlignment="1">
      <alignment horizontal="center"/>
    </xf>
    <xf numFmtId="14" fontId="30" fillId="0" borderId="1" xfId="0" applyNumberFormat="1" applyFont="1" applyBorder="1" applyAlignment="1">
      <alignment horizontal="center"/>
    </xf>
    <xf numFmtId="165" fontId="25" fillId="0" borderId="1" xfId="2" applyNumberFormat="1" applyBorder="1">
      <protection locked="0"/>
    </xf>
    <xf numFmtId="14" fontId="2" fillId="0" borderId="6" xfId="0" quotePrefix="1" applyNumberFormat="1" applyFont="1" applyFill="1" applyBorder="1" applyAlignment="1">
      <alignment horizontal="center"/>
    </xf>
    <xf numFmtId="0" fontId="2" fillId="0" borderId="6" xfId="0" applyFont="1" applyFill="1" applyBorder="1" applyAlignment="1">
      <alignment horizontal="left"/>
    </xf>
    <xf numFmtId="0" fontId="2" fillId="0" borderId="6" xfId="0" applyFont="1" applyFill="1" applyBorder="1" applyAlignment="1">
      <alignment horizontal="center"/>
    </xf>
    <xf numFmtId="0" fontId="4" fillId="0" borderId="6" xfId="0" applyFont="1" applyFill="1" applyBorder="1" applyAlignment="1">
      <alignment wrapText="1"/>
    </xf>
    <xf numFmtId="166" fontId="2" fillId="0" borderId="6" xfId="3" applyFont="1" applyFill="1" applyBorder="1" applyAlignment="1" applyProtection="1"/>
    <xf numFmtId="167" fontId="2" fillId="0" borderId="6" xfId="3" applyNumberFormat="1" applyFont="1" applyFill="1" applyBorder="1" applyAlignment="1" applyProtection="1"/>
    <xf numFmtId="0" fontId="2" fillId="0" borderId="6" xfId="0" applyFont="1" applyFill="1" applyBorder="1" applyAlignment="1"/>
    <xf numFmtId="0" fontId="19" fillId="0" borderId="1" xfId="4" applyBorder="1" applyAlignment="1" applyProtection="1"/>
    <xf numFmtId="41" fontId="17" fillId="0" borderId="1" xfId="0" applyNumberFormat="1" applyFont="1" applyBorder="1" applyAlignment="1"/>
    <xf numFmtId="0" fontId="2" fillId="0" borderId="8" xfId="0" applyFont="1" applyBorder="1" applyAlignment="1"/>
    <xf numFmtId="0" fontId="2" fillId="0" borderId="18" xfId="0" quotePrefix="1" applyFont="1" applyBorder="1" applyAlignment="1">
      <alignment horizontal="center"/>
    </xf>
    <xf numFmtId="0" fontId="4" fillId="0" borderId="18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2" fillId="0" borderId="18" xfId="0" applyFont="1" applyFill="1" applyBorder="1" applyAlignment="1">
      <alignment horizontal="center"/>
    </xf>
    <xf numFmtId="0" fontId="2" fillId="0" borderId="18" xfId="0" applyFont="1" applyBorder="1" applyAlignment="1">
      <alignment wrapText="1"/>
    </xf>
    <xf numFmtId="41" fontId="2" fillId="0" borderId="18" xfId="1" applyFont="1" applyFill="1" applyBorder="1" applyAlignment="1" applyProtection="1"/>
    <xf numFmtId="166" fontId="2" fillId="0" borderId="18" xfId="3" applyFont="1" applyFill="1" applyBorder="1" applyAlignment="1" applyProtection="1"/>
    <xf numFmtId="167" fontId="2" fillId="0" borderId="18" xfId="3" applyNumberFormat="1" applyFont="1" applyFill="1" applyBorder="1" applyAlignment="1" applyProtection="1"/>
    <xf numFmtId="165" fontId="2" fillId="0" borderId="18" xfId="0" applyNumberFormat="1" applyFont="1" applyFill="1" applyBorder="1" applyAlignment="1"/>
    <xf numFmtId="0" fontId="2" fillId="0" borderId="18" xfId="0" applyFont="1" applyFill="1" applyBorder="1" applyAlignment="1"/>
    <xf numFmtId="167" fontId="2" fillId="0" borderId="18" xfId="3" applyNumberFormat="1" applyFont="1" applyBorder="1" applyAlignment="1" applyProtection="1"/>
    <xf numFmtId="0" fontId="2" fillId="0" borderId="17" xfId="0" quotePrefix="1" applyFont="1" applyBorder="1" applyAlignment="1">
      <alignment horizontal="center"/>
    </xf>
    <xf numFmtId="0" fontId="4" fillId="0" borderId="17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17" xfId="0" applyFont="1" applyFill="1" applyBorder="1" applyAlignment="1">
      <alignment horizontal="center"/>
    </xf>
    <xf numFmtId="0" fontId="2" fillId="0" borderId="17" xfId="0" applyFont="1" applyBorder="1" applyAlignment="1">
      <alignment wrapText="1"/>
    </xf>
    <xf numFmtId="41" fontId="2" fillId="0" borderId="17" xfId="1" applyFont="1" applyFill="1" applyBorder="1" applyAlignment="1" applyProtection="1"/>
    <xf numFmtId="166" fontId="2" fillId="0" borderId="17" xfId="3" applyFont="1" applyFill="1" applyBorder="1" applyAlignment="1" applyProtection="1"/>
    <xf numFmtId="167" fontId="2" fillId="0" borderId="17" xfId="3" applyNumberFormat="1" applyFont="1" applyFill="1" applyBorder="1" applyAlignment="1" applyProtection="1"/>
    <xf numFmtId="165" fontId="2" fillId="0" borderId="17" xfId="0" applyNumberFormat="1" applyFont="1" applyFill="1" applyBorder="1" applyAlignment="1"/>
    <xf numFmtId="0" fontId="2" fillId="0" borderId="17" xfId="0" applyFont="1" applyFill="1" applyBorder="1" applyAlignment="1"/>
    <xf numFmtId="167" fontId="2" fillId="0" borderId="17" xfId="3" applyNumberFormat="1" applyFont="1" applyBorder="1" applyAlignment="1" applyProtection="1"/>
    <xf numFmtId="0" fontId="2" fillId="0" borderId="8" xfId="0" applyFont="1" applyFill="1" applyBorder="1" applyAlignment="1"/>
    <xf numFmtId="0" fontId="2" fillId="0" borderId="18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166" fontId="2" fillId="0" borderId="8" xfId="3" applyFont="1" applyFill="1" applyBorder="1" applyAlignment="1" applyProtection="1"/>
    <xf numFmtId="166" fontId="4" fillId="0" borderId="1" xfId="3" applyFont="1" applyBorder="1" applyAlignment="1" applyProtection="1"/>
    <xf numFmtId="166" fontId="4" fillId="0" borderId="1" xfId="0" applyNumberFormat="1" applyFont="1" applyBorder="1" applyAlignment="1"/>
    <xf numFmtId="166" fontId="4" fillId="0" borderId="1" xfId="0" applyNumberFormat="1" applyFont="1" applyFill="1" applyBorder="1" applyAlignment="1"/>
    <xf numFmtId="0" fontId="4" fillId="0" borderId="1" xfId="0" applyFont="1" applyBorder="1" applyAlignment="1">
      <alignment horizontal="right"/>
    </xf>
    <xf numFmtId="0" fontId="29" fillId="0" borderId="1" xfId="0" applyFont="1" applyFill="1" applyBorder="1" applyAlignment="1">
      <alignment wrapText="1"/>
    </xf>
    <xf numFmtId="43" fontId="4" fillId="0" borderId="1" xfId="2" applyFont="1" applyFill="1" applyBorder="1">
      <protection locked="0"/>
    </xf>
    <xf numFmtId="0" fontId="2" fillId="6" borderId="6" xfId="0" applyFont="1" applyFill="1" applyBorder="1" applyAlignment="1">
      <alignment horizontal="left" vertical="center"/>
    </xf>
    <xf numFmtId="14" fontId="4" fillId="0" borderId="1" xfId="0" quotePrefix="1" applyNumberFormat="1" applyFont="1" applyBorder="1" applyAlignment="1"/>
    <xf numFmtId="14" fontId="4" fillId="0" borderId="1" xfId="0" quotePrefix="1" applyNumberFormat="1" applyFont="1" applyFill="1" applyBorder="1" applyAlignment="1"/>
    <xf numFmtId="14" fontId="29" fillId="0" borderId="1" xfId="0" applyNumberFormat="1" applyFont="1" applyFill="1" applyBorder="1" applyAlignment="1"/>
    <xf numFmtId="41" fontId="4" fillId="0" borderId="1" xfId="1" applyFont="1" applyFill="1" applyBorder="1">
      <protection locked="0"/>
    </xf>
    <xf numFmtId="43" fontId="4" fillId="0" borderId="1" xfId="2" applyFont="1" applyFill="1" applyBorder="1" applyAlignment="1" applyProtection="1"/>
    <xf numFmtId="43" fontId="4" fillId="0" borderId="1" xfId="4" applyNumberFormat="1" applyFont="1" applyFill="1" applyBorder="1" applyAlignment="1" applyProtection="1"/>
    <xf numFmtId="41" fontId="4" fillId="0" borderId="1" xfId="0" applyNumberFormat="1" applyFont="1" applyFill="1" applyBorder="1" applyAlignment="1"/>
    <xf numFmtId="41" fontId="4" fillId="0" borderId="1" xfId="4" applyNumberFormat="1" applyFont="1" applyFill="1" applyBorder="1" applyAlignment="1" applyProtection="1"/>
    <xf numFmtId="41" fontId="29" fillId="0" borderId="1" xfId="0" applyNumberFormat="1" applyFont="1" applyFill="1" applyBorder="1" applyAlignment="1"/>
    <xf numFmtId="0" fontId="2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4" fontId="1" fillId="0" borderId="1" xfId="13" applyNumberFormat="1" applyFont="1" applyBorder="1"/>
    <xf numFmtId="164" fontId="0" fillId="0" borderId="0" xfId="0" applyNumberFormat="1">
      <alignment vertical="center"/>
    </xf>
    <xf numFmtId="164" fontId="1" fillId="0" borderId="1" xfId="14" applyNumberFormat="1" applyFont="1" applyBorder="1"/>
    <xf numFmtId="164" fontId="72" fillId="0" borderId="0" xfId="15" applyNumberFormat="1" applyFont="1"/>
    <xf numFmtId="164" fontId="73" fillId="0" borderId="0" xfId="15" applyNumberFormat="1" applyFont="1"/>
    <xf numFmtId="164" fontId="1" fillId="0" borderId="1" xfId="16" applyNumberFormat="1" applyFont="1" applyBorder="1"/>
    <xf numFmtId="164" fontId="1" fillId="0" borderId="1" xfId="17" applyNumberFormat="1" applyFont="1" applyBorder="1"/>
    <xf numFmtId="164" fontId="1" fillId="0" borderId="1" xfId="18" applyNumberFormat="1" applyFont="1" applyBorder="1"/>
    <xf numFmtId="164" fontId="1" fillId="0" borderId="1" xfId="19" applyNumberFormat="1" applyFont="1" applyBorder="1"/>
    <xf numFmtId="164" fontId="1" fillId="0" borderId="1" xfId="20" applyNumberFormat="1" applyFont="1" applyBorder="1"/>
    <xf numFmtId="164" fontId="1" fillId="0" borderId="6" xfId="20" applyNumberFormat="1" applyFont="1" applyBorder="1"/>
    <xf numFmtId="164" fontId="1" fillId="0" borderId="2" xfId="20" applyNumberFormat="1" applyFont="1" applyBorder="1"/>
    <xf numFmtId="164" fontId="1" fillId="0" borderId="1" xfId="21" applyNumberFormat="1" applyFont="1" applyBorder="1"/>
    <xf numFmtId="164" fontId="1" fillId="0" borderId="1" xfId="22" applyNumberFormat="1" applyFont="1" applyBorder="1"/>
    <xf numFmtId="164" fontId="1" fillId="0" borderId="6" xfId="22" applyNumberFormat="1" applyFont="1" applyBorder="1"/>
    <xf numFmtId="164" fontId="1" fillId="0" borderId="1" xfId="23" applyNumberFormat="1" applyFont="1" applyBorder="1"/>
    <xf numFmtId="0" fontId="6" fillId="0" borderId="1" xfId="0" applyFont="1" applyBorder="1" applyAlignment="1">
      <alignment horizontal="center" vertical="center"/>
    </xf>
    <xf numFmtId="164" fontId="58" fillId="0" borderId="1" xfId="38" applyNumberFormat="1" applyFont="1" applyBorder="1"/>
    <xf numFmtId="164" fontId="1" fillId="0" borderId="1" xfId="24" applyNumberFormat="1" applyFont="1" applyBorder="1"/>
    <xf numFmtId="164" fontId="1" fillId="0" borderId="2" xfId="24" applyNumberFormat="1" applyFont="1" applyBorder="1"/>
    <xf numFmtId="164" fontId="1" fillId="0" borderId="1" xfId="25" applyNumberFormat="1" applyFont="1" applyBorder="1"/>
    <xf numFmtId="164" fontId="1" fillId="0" borderId="1" xfId="26" applyNumberFormat="1" applyFont="1" applyBorder="1"/>
    <xf numFmtId="164" fontId="1" fillId="0" borderId="6" xfId="26" applyNumberFormat="1" applyFont="1" applyBorder="1"/>
    <xf numFmtId="164" fontId="1" fillId="0" borderId="2" xfId="26" applyNumberFormat="1" applyFont="1" applyBorder="1"/>
    <xf numFmtId="164" fontId="1" fillId="0" borderId="1" xfId="27" applyNumberFormat="1" applyFont="1" applyBorder="1"/>
    <xf numFmtId="164" fontId="1" fillId="0" borderId="1" xfId="28" applyNumberFormat="1" applyFont="1" applyBorder="1"/>
    <xf numFmtId="164" fontId="1" fillId="0" borderId="6" xfId="28" applyNumberFormat="1" applyFont="1" applyBorder="1"/>
    <xf numFmtId="164" fontId="1" fillId="0" borderId="2" xfId="28" applyNumberFormat="1" applyFont="1" applyBorder="1"/>
    <xf numFmtId="164" fontId="1" fillId="0" borderId="1" xfId="29" applyNumberFormat="1" applyFont="1" applyBorder="1"/>
    <xf numFmtId="164" fontId="1" fillId="0" borderId="1" xfId="30" applyNumberFormat="1" applyFont="1" applyBorder="1"/>
    <xf numFmtId="164" fontId="1" fillId="0" borderId="1" xfId="31" applyNumberFormat="1" applyFont="1" applyBorder="1"/>
    <xf numFmtId="164" fontId="1" fillId="0" borderId="1" xfId="32" applyNumberFormat="1" applyFont="1" applyBorder="1"/>
    <xf numFmtId="164" fontId="1" fillId="0" borderId="6" xfId="32" applyNumberFormat="1" applyFont="1" applyBorder="1"/>
    <xf numFmtId="164" fontId="1" fillId="0" borderId="2" xfId="32" applyNumberFormat="1" applyFont="1" applyBorder="1"/>
    <xf numFmtId="164" fontId="1" fillId="0" borderId="1" xfId="33" applyNumberFormat="1" applyFont="1" applyBorder="1"/>
    <xf numFmtId="164" fontId="1" fillId="0" borderId="1" xfId="34" applyNumberFormat="1" applyFont="1" applyBorder="1"/>
    <xf numFmtId="164" fontId="1" fillId="0" borderId="2" xfId="34" applyNumberFormat="1" applyFont="1" applyBorder="1"/>
    <xf numFmtId="0" fontId="1" fillId="0" borderId="1" xfId="12" applyBorder="1"/>
    <xf numFmtId="164" fontId="1" fillId="0" borderId="1" xfId="35" applyNumberFormat="1" applyFont="1" applyBorder="1"/>
    <xf numFmtId="164" fontId="72" fillId="0" borderId="1" xfId="35" applyNumberFormat="1" applyFont="1" applyBorder="1"/>
    <xf numFmtId="164" fontId="1" fillId="0" borderId="1" xfId="36" applyNumberFormat="1" applyFont="1" applyBorder="1"/>
    <xf numFmtId="164" fontId="1" fillId="0" borderId="6" xfId="36" applyNumberFormat="1" applyFont="1" applyBorder="1"/>
    <xf numFmtId="164" fontId="1" fillId="0" borderId="2" xfId="36" applyNumberFormat="1" applyFont="1" applyBorder="1"/>
    <xf numFmtId="0" fontId="1" fillId="0" borderId="1" xfId="12" applyBorder="1"/>
    <xf numFmtId="164" fontId="1" fillId="0" borderId="1" xfId="37" applyNumberFormat="1" applyFont="1" applyBorder="1"/>
    <xf numFmtId="3" fontId="1" fillId="0" borderId="1" xfId="12" applyNumberFormat="1" applyBorder="1"/>
    <xf numFmtId="164" fontId="72" fillId="0" borderId="0" xfId="12" applyNumberFormat="1" applyFont="1"/>
    <xf numFmtId="0" fontId="1" fillId="0" borderId="1" xfId="12" applyBorder="1"/>
    <xf numFmtId="3" fontId="1" fillId="0" borderId="1" xfId="12" applyNumberFormat="1" applyBorder="1"/>
    <xf numFmtId="164" fontId="1" fillId="0" borderId="1" xfId="13" applyNumberFormat="1" applyFont="1" applyFill="1" applyBorder="1"/>
    <xf numFmtId="43" fontId="2" fillId="0" borderId="0" xfId="4" applyNumberFormat="1" applyFont="1" applyBorder="1" applyAlignment="1" applyProtection="1">
      <alignment horizontal="right"/>
    </xf>
    <xf numFmtId="0" fontId="74" fillId="5" borderId="1" xfId="0" applyFont="1" applyFill="1" applyBorder="1" applyAlignment="1">
      <alignment horizontal="left" vertical="center"/>
    </xf>
    <xf numFmtId="0" fontId="74" fillId="5" borderId="6" xfId="0" applyFont="1" applyFill="1" applyBorder="1" applyAlignment="1">
      <alignment horizontal="left" vertical="center"/>
    </xf>
    <xf numFmtId="4" fontId="74" fillId="5" borderId="6" xfId="1" applyNumberFormat="1" applyFont="1" applyFill="1" applyBorder="1" applyAlignment="1" applyProtection="1">
      <alignment vertical="center"/>
    </xf>
    <xf numFmtId="0" fontId="74" fillId="5" borderId="6" xfId="0" applyFont="1" applyFill="1" applyBorder="1">
      <alignment vertical="center"/>
    </xf>
    <xf numFmtId="4" fontId="74" fillId="5" borderId="6" xfId="0" applyNumberFormat="1" applyFont="1" applyFill="1" applyBorder="1" applyAlignment="1">
      <alignment horizontal="center" vertical="center"/>
    </xf>
    <xf numFmtId="0" fontId="74" fillId="5" borderId="6" xfId="0" applyFont="1" applyFill="1" applyBorder="1" applyAlignment="1">
      <alignment horizontal="center" vertical="center"/>
    </xf>
    <xf numFmtId="43" fontId="74" fillId="11" borderId="6" xfId="2" applyFont="1" applyFill="1" applyBorder="1" applyAlignment="1">
      <alignment horizontal="center"/>
      <protection locked="0"/>
    </xf>
    <xf numFmtId="14" fontId="74" fillId="0" borderId="1" xfId="0" quotePrefix="1" applyNumberFormat="1" applyFont="1" applyFill="1" applyBorder="1" applyAlignment="1"/>
    <xf numFmtId="0" fontId="74" fillId="0" borderId="1" xfId="0" applyFont="1" applyFill="1" applyBorder="1" applyAlignment="1">
      <alignment horizontal="left"/>
    </xf>
    <xf numFmtId="0" fontId="75" fillId="0" borderId="1" xfId="0" applyFont="1" applyFill="1" applyBorder="1" applyAlignment="1">
      <alignment wrapText="1"/>
    </xf>
    <xf numFmtId="166" fontId="74" fillId="0" borderId="1" xfId="3" applyFont="1" applyFill="1" applyBorder="1" applyAlignment="1" applyProtection="1"/>
    <xf numFmtId="41" fontId="74" fillId="0" borderId="1" xfId="0" applyNumberFormat="1" applyFont="1" applyBorder="1" applyAlignment="1"/>
    <xf numFmtId="0" fontId="74" fillId="0" borderId="1" xfId="0" applyFont="1" applyFill="1" applyBorder="1" applyAlignment="1"/>
    <xf numFmtId="14" fontId="76" fillId="0" borderId="1" xfId="9" applyNumberFormat="1" applyFont="1" applyBorder="1" applyAlignment="1">
      <alignment horizontal="center" vertical="top" shrinkToFit="1"/>
    </xf>
    <xf numFmtId="0" fontId="74" fillId="0" borderId="1" xfId="0" applyFont="1" applyBorder="1" applyAlignment="1"/>
    <xf numFmtId="0" fontId="77" fillId="0" borderId="1" xfId="9" applyFont="1" applyBorder="1" applyAlignment="1">
      <alignment horizontal="left" vertical="top"/>
    </xf>
    <xf numFmtId="43" fontId="74" fillId="0" borderId="1" xfId="2" applyFont="1" applyBorder="1">
      <protection locked="0"/>
    </xf>
    <xf numFmtId="1" fontId="78" fillId="0" borderId="1" xfId="0" quotePrefix="1" applyNumberFormat="1" applyFont="1" applyBorder="1" applyAlignment="1">
      <alignment horizontal="center" vertical="center" shrinkToFit="1"/>
    </xf>
    <xf numFmtId="14" fontId="79" fillId="0" borderId="1" xfId="9" applyNumberFormat="1" applyFont="1" applyBorder="1" applyAlignment="1">
      <alignment horizontal="center" vertical="center"/>
    </xf>
    <xf numFmtId="0" fontId="80" fillId="0" borderId="1" xfId="0" applyFont="1" applyBorder="1" applyAlignment="1"/>
    <xf numFmtId="0" fontId="79" fillId="0" borderId="1" xfId="9" applyFont="1" applyBorder="1" applyAlignment="1">
      <alignment horizontal="left" vertical="top"/>
    </xf>
    <xf numFmtId="4" fontId="74" fillId="0" borderId="1" xfId="3" applyNumberFormat="1" applyFont="1" applyFill="1" applyBorder="1" applyAlignment="1" applyProtection="1"/>
    <xf numFmtId="0" fontId="74" fillId="6" borderId="1" xfId="0" applyFont="1" applyFill="1" applyBorder="1" applyAlignment="1"/>
    <xf numFmtId="0" fontId="74" fillId="6" borderId="1" xfId="0" applyFont="1" applyFill="1" applyBorder="1" applyAlignment="1">
      <alignment horizontal="left"/>
    </xf>
    <xf numFmtId="0" fontId="75" fillId="6" borderId="1" xfId="0" applyFont="1" applyFill="1" applyBorder="1" applyAlignment="1">
      <alignment wrapText="1"/>
    </xf>
    <xf numFmtId="4" fontId="74" fillId="6" borderId="1" xfId="1" applyNumberFormat="1" applyFont="1" applyFill="1" applyBorder="1" applyAlignment="1" applyProtection="1"/>
    <xf numFmtId="166" fontId="74" fillId="6" borderId="1" xfId="0" applyNumberFormat="1" applyFont="1" applyFill="1" applyBorder="1" applyAlignment="1"/>
    <xf numFmtId="41" fontId="74" fillId="6" borderId="1" xfId="1" applyFont="1" applyFill="1" applyBorder="1" applyAlignment="1" applyProtection="1"/>
    <xf numFmtId="0" fontId="15" fillId="0" borderId="1" xfId="0" applyFont="1" applyFill="1" applyBorder="1" applyAlignment="1"/>
    <xf numFmtId="0" fontId="80" fillId="0" borderId="0" xfId="0" applyFont="1" applyAlignment="1"/>
    <xf numFmtId="0" fontId="74" fillId="0" borderId="0" xfId="0" applyFont="1" applyAlignment="1">
      <alignment horizontal="left"/>
    </xf>
    <xf numFmtId="0" fontId="74" fillId="0" borderId="0" xfId="0" applyFont="1" applyAlignment="1">
      <alignment wrapText="1"/>
    </xf>
    <xf numFmtId="4" fontId="74" fillId="0" borderId="0" xfId="1" applyNumberFormat="1" applyFont="1" applyAlignment="1" applyProtection="1"/>
    <xf numFmtId="0" fontId="75" fillId="0" borderId="0" xfId="0" applyFont="1">
      <alignment vertical="center"/>
    </xf>
    <xf numFmtId="4" fontId="75" fillId="0" borderId="0" xfId="0" applyNumberFormat="1" applyFont="1">
      <alignment vertical="center"/>
    </xf>
    <xf numFmtId="41" fontId="74" fillId="0" borderId="0" xfId="1" applyFont="1" applyAlignment="1" applyProtection="1"/>
    <xf numFmtId="43" fontId="74" fillId="0" borderId="0" xfId="2" applyFont="1">
      <protection locked="0"/>
    </xf>
    <xf numFmtId="41" fontId="74" fillId="0" borderId="0" xfId="0" applyNumberFormat="1" applyFont="1" applyAlignment="1"/>
    <xf numFmtId="0" fontId="6" fillId="14" borderId="1" xfId="0" applyFont="1" applyFill="1" applyBorder="1" applyAlignment="1"/>
    <xf numFmtId="43" fontId="25" fillId="14" borderId="1" xfId="2" applyFill="1" applyBorder="1">
      <protection locked="0"/>
    </xf>
    <xf numFmtId="43" fontId="6" fillId="14" borderId="1" xfId="2" applyFont="1" applyFill="1" applyBorder="1" applyAlignment="1" applyProtection="1"/>
    <xf numFmtId="0" fontId="6" fillId="14" borderId="1" xfId="0" applyFont="1" applyFill="1" applyBorder="1" applyAlignment="1">
      <alignment horizontal="left" indent="2"/>
    </xf>
    <xf numFmtId="165" fontId="6" fillId="14" borderId="1" xfId="1" applyNumberFormat="1" applyFont="1" applyFill="1" applyBorder="1" applyAlignment="1" applyProtection="1"/>
    <xf numFmtId="0" fontId="26" fillId="0" borderId="0" xfId="0" applyFont="1">
      <alignment vertical="center"/>
    </xf>
    <xf numFmtId="9" fontId="26" fillId="0" borderId="0" xfId="0" applyNumberFormat="1" applyFont="1">
      <alignment vertical="center"/>
    </xf>
    <xf numFmtId="166" fontId="2" fillId="17" borderId="1" xfId="3" applyFont="1" applyFill="1" applyBorder="1" applyAlignment="1" applyProtection="1"/>
    <xf numFmtId="166" fontId="30" fillId="17" borderId="1" xfId="3" applyFont="1" applyFill="1" applyBorder="1" applyAlignment="1" applyProtection="1"/>
    <xf numFmtId="164" fontId="58" fillId="17" borderId="1" xfId="39" applyNumberFormat="1" applyFont="1" applyFill="1" applyBorder="1"/>
    <xf numFmtId="0" fontId="15" fillId="17" borderId="1" xfId="0" applyFont="1" applyFill="1" applyBorder="1" applyAlignment="1"/>
    <xf numFmtId="0" fontId="2" fillId="17" borderId="1" xfId="0" applyFont="1" applyFill="1" applyBorder="1" applyAlignment="1">
      <alignment wrapText="1"/>
    </xf>
    <xf numFmtId="0" fontId="0" fillId="0" borderId="1" xfId="0" applyFill="1" applyBorder="1">
      <alignment vertical="center"/>
    </xf>
    <xf numFmtId="167" fontId="2" fillId="0" borderId="1" xfId="0" applyNumberFormat="1" applyFont="1" applyFill="1" applyBorder="1" applyAlignment="1"/>
    <xf numFmtId="165" fontId="2" fillId="0" borderId="1" xfId="3" applyNumberFormat="1" applyFont="1" applyFill="1" applyBorder="1" applyAlignment="1" applyProtection="1"/>
    <xf numFmtId="43" fontId="2" fillId="0" borderId="0" xfId="2" applyFont="1" applyFill="1">
      <protection locked="0"/>
    </xf>
    <xf numFmtId="0" fontId="81" fillId="0" borderId="1" xfId="0" applyFont="1" applyBorder="1" applyAlignment="1"/>
    <xf numFmtId="41" fontId="26" fillId="0" borderId="1" xfId="1" applyFont="1" applyBorder="1" applyAlignment="1" applyProtection="1"/>
    <xf numFmtId="166" fontId="26" fillId="0" borderId="1" xfId="3" applyFont="1" applyBorder="1" applyAlignment="1" applyProtection="1"/>
    <xf numFmtId="0" fontId="26" fillId="0" borderId="1" xfId="0" applyFont="1" applyBorder="1" applyAlignment="1"/>
    <xf numFmtId="0" fontId="4" fillId="13" borderId="1" xfId="0" applyFont="1" applyFill="1" applyBorder="1" applyAlignment="1"/>
    <xf numFmtId="14" fontId="4" fillId="6" borderId="1" xfId="0" quotePrefix="1" applyNumberFormat="1" applyFont="1" applyFill="1" applyBorder="1" applyAlignment="1"/>
    <xf numFmtId="0" fontId="4" fillId="6" borderId="1" xfId="0" applyFont="1" applyFill="1" applyBorder="1" applyAlignment="1">
      <alignment horizontal="left"/>
    </xf>
    <xf numFmtId="166" fontId="4" fillId="6" borderId="1" xfId="3" applyFont="1" applyFill="1" applyBorder="1" applyAlignment="1" applyProtection="1"/>
    <xf numFmtId="166" fontId="4" fillId="6" borderId="1" xfId="0" applyNumberFormat="1" applyFont="1" applyFill="1" applyBorder="1" applyAlignment="1"/>
    <xf numFmtId="0" fontId="4" fillId="6" borderId="1" xfId="0" applyFont="1" applyFill="1" applyBorder="1" applyAlignment="1"/>
    <xf numFmtId="0" fontId="0" fillId="13" borderId="0" xfId="0" applyFill="1">
      <alignment vertical="center"/>
    </xf>
    <xf numFmtId="0" fontId="4" fillId="13" borderId="1" xfId="0" applyFont="1" applyFill="1" applyBorder="1" applyAlignment="1">
      <alignment horizontal="left"/>
    </xf>
    <xf numFmtId="0" fontId="2" fillId="13" borderId="1" xfId="0" applyFont="1" applyFill="1" applyBorder="1" applyAlignment="1"/>
    <xf numFmtId="0" fontId="2" fillId="13" borderId="1" xfId="0" applyFont="1" applyFill="1" applyBorder="1" applyAlignment="1">
      <alignment horizontal="left"/>
    </xf>
    <xf numFmtId="164" fontId="25" fillId="13" borderId="1" xfId="2" applyNumberFormat="1" applyFill="1" applyBorder="1">
      <protection locked="0"/>
    </xf>
    <xf numFmtId="165" fontId="26" fillId="0" borderId="0" xfId="1" applyNumberFormat="1" applyFont="1" applyBorder="1" applyAlignment="1" applyProtection="1"/>
    <xf numFmtId="0" fontId="82" fillId="0" borderId="0" xfId="4" applyFont="1" applyAlignment="1" applyProtection="1">
      <alignment horizontal="center"/>
    </xf>
    <xf numFmtId="0" fontId="4" fillId="0" borderId="0" xfId="4" applyFont="1" applyAlignment="1" applyProtection="1"/>
    <xf numFmtId="0" fontId="39" fillId="0" borderId="4" xfId="4" applyFont="1" applyBorder="1" applyAlignment="1" applyProtection="1">
      <alignment horizontal="center" wrapText="1"/>
    </xf>
    <xf numFmtId="0" fontId="13" fillId="0" borderId="2" xfId="4" applyFont="1" applyBorder="1" applyAlignment="1" applyProtection="1">
      <alignment horizontal="center"/>
    </xf>
    <xf numFmtId="43" fontId="13" fillId="0" borderId="1" xfId="4" applyNumberFormat="1" applyFont="1" applyBorder="1" applyAlignment="1" applyProtection="1">
      <alignment horizontal="left"/>
    </xf>
    <xf numFmtId="43" fontId="4" fillId="0" borderId="2" xfId="4" applyNumberFormat="1" applyFont="1" applyBorder="1" applyAlignment="1" applyProtection="1"/>
    <xf numFmtId="43" fontId="13" fillId="0" borderId="8" xfId="2" applyFont="1" applyBorder="1">
      <protection locked="0"/>
    </xf>
    <xf numFmtId="43" fontId="13" fillId="0" borderId="1" xfId="4" applyNumberFormat="1" applyFont="1" applyBorder="1" applyAlignment="1" applyProtection="1"/>
    <xf numFmtId="0" fontId="4" fillId="0" borderId="2" xfId="4" applyFont="1" applyBorder="1" applyAlignment="1" applyProtection="1"/>
    <xf numFmtId="0" fontId="83" fillId="0" borderId="2" xfId="4" applyFont="1" applyBorder="1" applyAlignment="1" applyProtection="1"/>
    <xf numFmtId="41" fontId="4" fillId="0" borderId="2" xfId="7" applyFont="1" applyBorder="1" applyAlignment="1" applyProtection="1"/>
    <xf numFmtId="41" fontId="84" fillId="0" borderId="2" xfId="7" applyFont="1" applyBorder="1" applyAlignment="1" applyProtection="1"/>
    <xf numFmtId="41" fontId="13" fillId="0" borderId="4" xfId="7" applyFont="1" applyBorder="1" applyAlignment="1" applyProtection="1"/>
    <xf numFmtId="41" fontId="4" fillId="0" borderId="3" xfId="7" applyFont="1" applyBorder="1" applyAlignment="1" applyProtection="1"/>
    <xf numFmtId="41" fontId="4" fillId="0" borderId="9" xfId="7" applyFont="1" applyBorder="1" applyAlignment="1" applyProtection="1"/>
    <xf numFmtId="43" fontId="39" fillId="0" borderId="19" xfId="4" applyNumberFormat="1" applyFont="1" applyBorder="1" applyAlignment="1" applyProtection="1">
      <alignment horizontal="center" vertical="center"/>
    </xf>
    <xf numFmtId="43" fontId="4" fillId="0" borderId="0" xfId="4" applyNumberFormat="1" applyFont="1" applyBorder="1" applyAlignment="1" applyProtection="1"/>
    <xf numFmtId="41" fontId="4" fillId="0" borderId="0" xfId="1" applyFont="1" applyFill="1" applyBorder="1" applyAlignment="1" applyProtection="1"/>
    <xf numFmtId="43" fontId="4" fillId="0" borderId="0" xfId="4" applyNumberFormat="1" applyFont="1" applyAlignment="1" applyProtection="1"/>
    <xf numFmtId="0" fontId="4" fillId="0" borderId="0" xfId="4" applyFont="1" applyBorder="1" applyAlignment="1" applyProtection="1">
      <alignment horizontal="left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/>
    </xf>
    <xf numFmtId="0" fontId="6" fillId="3" borderId="14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165" fontId="6" fillId="3" borderId="1" xfId="1" applyNumberFormat="1" applyFont="1" applyFill="1" applyBorder="1" applyAlignment="1" applyProtection="1">
      <alignment horizontal="center" vertical="center"/>
    </xf>
    <xf numFmtId="0" fontId="7" fillId="0" borderId="0" xfId="0" applyFont="1" applyAlignment="1">
      <alignment horizontal="center"/>
    </xf>
    <xf numFmtId="0" fontId="74" fillId="5" borderId="1" xfId="0" applyFont="1" applyFill="1" applyBorder="1" applyAlignment="1">
      <alignment horizontal="center" vertical="center"/>
    </xf>
    <xf numFmtId="43" fontId="74" fillId="11" borderId="11" xfId="2" applyFont="1" applyFill="1" applyBorder="1" applyAlignment="1">
      <alignment horizontal="center" wrapText="1"/>
      <protection locked="0"/>
    </xf>
    <xf numFmtId="43" fontId="74" fillId="11" borderId="14" xfId="2" applyFont="1" applyFill="1" applyBorder="1" applyAlignment="1">
      <alignment horizontal="center" wrapText="1"/>
      <protection locked="0"/>
    </xf>
    <xf numFmtId="43" fontId="74" fillId="11" borderId="8" xfId="2" applyFont="1" applyFill="1" applyBorder="1" applyAlignment="1">
      <alignment horizontal="center" wrapText="1"/>
      <protection locked="0"/>
    </xf>
    <xf numFmtId="0" fontId="74" fillId="5" borderId="6" xfId="0" applyFont="1" applyFill="1" applyBorder="1" applyAlignment="1">
      <alignment horizontal="center" vertical="center"/>
    </xf>
    <xf numFmtId="0" fontId="74" fillId="5" borderId="1" xfId="0" applyFont="1" applyFill="1" applyBorder="1" applyAlignment="1">
      <alignment horizontal="left" vertical="center"/>
    </xf>
    <xf numFmtId="0" fontId="74" fillId="5" borderId="6" xfId="0" applyFont="1" applyFill="1" applyBorder="1" applyAlignment="1">
      <alignment horizontal="left" vertical="center"/>
    </xf>
    <xf numFmtId="0" fontId="74" fillId="5" borderId="1" xfId="0" applyFont="1" applyFill="1" applyBorder="1" applyAlignment="1">
      <alignment horizontal="center" vertical="center" wrapText="1"/>
    </xf>
    <xf numFmtId="0" fontId="74" fillId="5" borderId="6" xfId="0" applyFont="1" applyFill="1" applyBorder="1" applyAlignment="1">
      <alignment horizontal="center" vertical="center" wrapText="1"/>
    </xf>
    <xf numFmtId="41" fontId="74" fillId="5" borderId="11" xfId="1" applyFont="1" applyFill="1" applyBorder="1" applyAlignment="1" applyProtection="1">
      <alignment horizontal="center" vertical="center"/>
    </xf>
    <xf numFmtId="41" fontId="74" fillId="5" borderId="8" xfId="1" applyFont="1" applyFill="1" applyBorder="1" applyAlignment="1" applyProtection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165" fontId="6" fillId="14" borderId="1" xfId="1" applyNumberFormat="1" applyFont="1" applyFill="1" applyBorder="1" applyAlignment="1" applyProtection="1">
      <alignment horizontal="center" vertical="center"/>
    </xf>
    <xf numFmtId="43" fontId="6" fillId="14" borderId="1" xfId="2" applyFont="1" applyFill="1" applyBorder="1" applyAlignment="1">
      <alignment horizontal="center" vertical="center"/>
      <protection locked="0"/>
    </xf>
    <xf numFmtId="0" fontId="6" fillId="9" borderId="1" xfId="0" applyFont="1" applyFill="1" applyBorder="1" applyAlignment="1">
      <alignment horizontal="center" vertical="center"/>
    </xf>
    <xf numFmtId="41" fontId="6" fillId="9" borderId="1" xfId="1" applyFont="1" applyFill="1" applyBorder="1" applyAlignment="1" applyProtection="1">
      <alignment horizontal="center" vertical="center"/>
    </xf>
    <xf numFmtId="164" fontId="6" fillId="9" borderId="1" xfId="2" applyNumberFormat="1" applyFont="1" applyFill="1" applyBorder="1" applyAlignment="1">
      <alignment vertical="center"/>
      <protection locked="0"/>
    </xf>
    <xf numFmtId="0" fontId="2" fillId="9" borderId="1" xfId="0" applyFont="1" applyFill="1" applyBorder="1" applyAlignment="1">
      <alignment horizontal="center" vertical="center"/>
    </xf>
    <xf numFmtId="41" fontId="2" fillId="9" borderId="1" xfId="1" applyFont="1" applyFill="1" applyBorder="1" applyAlignment="1" applyProtection="1">
      <alignment horizontal="center" vertical="center"/>
    </xf>
    <xf numFmtId="41" fontId="6" fillId="9" borderId="1" xfId="1" applyFont="1" applyFill="1" applyBorder="1" applyAlignment="1" applyProtection="1">
      <alignment horizontal="center" vertical="center" wrapText="1"/>
    </xf>
    <xf numFmtId="41" fontId="2" fillId="9" borderId="1" xfId="1" applyFont="1" applyFill="1" applyBorder="1" applyAlignment="1" applyProtection="1">
      <alignment horizontal="center" vertical="center" wrapText="1"/>
    </xf>
    <xf numFmtId="164" fontId="2" fillId="9" borderId="1" xfId="2" applyNumberFormat="1" applyFont="1" applyFill="1" applyBorder="1" applyAlignment="1">
      <alignment horizontal="center" vertical="center" wrapText="1"/>
      <protection locked="0"/>
    </xf>
    <xf numFmtId="164" fontId="25" fillId="9" borderId="1" xfId="2" applyNumberFormat="1" applyFill="1" applyBorder="1" applyAlignment="1">
      <alignment horizontal="center" vertical="center" wrapText="1"/>
      <protection locked="0"/>
    </xf>
    <xf numFmtId="0" fontId="2" fillId="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41" fontId="2" fillId="6" borderId="1" xfId="1" applyFont="1" applyFill="1" applyBorder="1" applyAlignment="1" applyProtection="1">
      <alignment horizontal="center" vertical="center"/>
    </xf>
    <xf numFmtId="41" fontId="2" fillId="6" borderId="4" xfId="1" applyFont="1" applyFill="1" applyBorder="1" applyAlignment="1" applyProtection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/>
    </xf>
    <xf numFmtId="0" fontId="2" fillId="6" borderId="6" xfId="0" applyFont="1" applyFill="1" applyBorder="1" applyAlignment="1">
      <alignment horizontal="left" vertical="center"/>
    </xf>
    <xf numFmtId="41" fontId="2" fillId="6" borderId="6" xfId="1" applyFont="1" applyFill="1" applyBorder="1" applyAlignment="1" applyProtection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5" borderId="6" xfId="0" applyFont="1" applyFill="1" applyBorder="1" applyAlignment="1">
      <alignment horizontal="left" vertical="center"/>
    </xf>
    <xf numFmtId="0" fontId="2" fillId="6" borderId="4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left" vertical="center"/>
    </xf>
    <xf numFmtId="41" fontId="2" fillId="5" borderId="11" xfId="1" applyFont="1" applyFill="1" applyBorder="1" applyAlignment="1" applyProtection="1">
      <alignment horizontal="center" vertical="center"/>
    </xf>
    <xf numFmtId="41" fontId="2" fillId="5" borderId="8" xfId="1" applyFont="1" applyFill="1" applyBorder="1" applyAlignment="1" applyProtection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43" fontId="2" fillId="6" borderId="1" xfId="2" applyFont="1" applyFill="1" applyBorder="1" applyAlignment="1">
      <alignment horizontal="center" vertical="center"/>
      <protection locked="0"/>
    </xf>
    <xf numFmtId="43" fontId="2" fillId="6" borderId="11" xfId="2" applyFont="1" applyFill="1" applyBorder="1" applyAlignment="1">
      <alignment horizontal="center" vertical="center"/>
      <protection locked="0"/>
    </xf>
    <xf numFmtId="43" fontId="2" fillId="6" borderId="14" xfId="2" applyFont="1" applyFill="1" applyBorder="1" applyAlignment="1">
      <alignment horizontal="center" vertical="center"/>
      <protection locked="0"/>
    </xf>
    <xf numFmtId="43" fontId="2" fillId="6" borderId="8" xfId="2" applyFont="1" applyFill="1" applyBorder="1" applyAlignment="1">
      <alignment horizontal="center" vertical="center"/>
      <protection locked="0"/>
    </xf>
    <xf numFmtId="0" fontId="6" fillId="3" borderId="1" xfId="0" applyFont="1" applyFill="1" applyBorder="1" applyAlignment="1">
      <alignment horizontal="center"/>
    </xf>
    <xf numFmtId="0" fontId="2" fillId="0" borderId="0" xfId="4" applyFont="1" applyBorder="1" applyAlignment="1" applyProtection="1">
      <alignment horizontal="center"/>
    </xf>
    <xf numFmtId="0" fontId="8" fillId="0" borderId="0" xfId="4" applyFont="1" applyAlignment="1" applyProtection="1">
      <alignment horizontal="center"/>
    </xf>
    <xf numFmtId="0" fontId="3" fillId="0" borderId="0" xfId="4" applyFont="1" applyAlignment="1" applyProtection="1">
      <alignment horizontal="center"/>
    </xf>
    <xf numFmtId="0" fontId="9" fillId="0" borderId="9" xfId="4" applyFont="1" applyBorder="1" applyAlignment="1" applyProtection="1">
      <alignment horizontal="center"/>
    </xf>
    <xf numFmtId="0" fontId="19" fillId="0" borderId="9" xfId="4" applyFont="1" applyBorder="1" applyAlignment="1" applyProtection="1">
      <alignment horizontal="center"/>
    </xf>
    <xf numFmtId="0" fontId="6" fillId="10" borderId="15" xfId="4" applyFont="1" applyFill="1" applyBorder="1" applyAlignment="1" applyProtection="1">
      <alignment horizontal="center"/>
    </xf>
    <xf numFmtId="0" fontId="6" fillId="10" borderId="10" xfId="4" applyFont="1" applyFill="1" applyBorder="1" applyAlignment="1" applyProtection="1">
      <alignment horizontal="center"/>
    </xf>
    <xf numFmtId="0" fontId="6" fillId="10" borderId="16" xfId="4" applyFont="1" applyFill="1" applyBorder="1" applyAlignment="1" applyProtection="1">
      <alignment horizontal="center"/>
    </xf>
    <xf numFmtId="0" fontId="2" fillId="0" borderId="9" xfId="4" applyFont="1" applyBorder="1" applyAlignment="1" applyProtection="1">
      <alignment horizontal="center"/>
    </xf>
    <xf numFmtId="0" fontId="19" fillId="0" borderId="9" xfId="4" applyBorder="1" applyAlignment="1" applyProtection="1">
      <alignment horizontal="center"/>
    </xf>
    <xf numFmtId="0" fontId="20" fillId="10" borderId="15" xfId="4" applyFont="1" applyFill="1" applyBorder="1" applyAlignment="1" applyProtection="1">
      <alignment horizontal="center"/>
    </xf>
    <xf numFmtId="0" fontId="20" fillId="10" borderId="10" xfId="4" applyFont="1" applyFill="1" applyBorder="1" applyAlignment="1" applyProtection="1">
      <alignment horizontal="center"/>
    </xf>
    <xf numFmtId="0" fontId="20" fillId="10" borderId="16" xfId="4" applyFont="1" applyFill="1" applyBorder="1" applyAlignment="1" applyProtection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41" fontId="8" fillId="0" borderId="6" xfId="1" applyFont="1" applyBorder="1" applyAlignment="1" applyProtection="1">
      <alignment horizontal="center" vertical="center" wrapText="1"/>
    </xf>
    <xf numFmtId="43" fontId="6" fillId="0" borderId="0" xfId="2" applyNumberFormat="1" applyFont="1">
      <protection locked="0"/>
    </xf>
    <xf numFmtId="43" fontId="2" fillId="0" borderId="10" xfId="2" applyNumberFormat="1" applyFont="1" applyBorder="1">
      <protection locked="0"/>
    </xf>
    <xf numFmtId="173" fontId="25" fillId="0" borderId="0" xfId="2" applyNumberFormat="1">
      <protection locked="0"/>
    </xf>
    <xf numFmtId="0" fontId="8" fillId="0" borderId="6" xfId="0" applyFont="1" applyBorder="1" applyAlignment="1">
      <alignment horizontal="center" vertical="center" wrapText="1"/>
    </xf>
    <xf numFmtId="167" fontId="30" fillId="0" borderId="1" xfId="3" applyNumberFormat="1" applyFont="1" applyBorder="1" applyAlignment="1" applyProtection="1"/>
    <xf numFmtId="167" fontId="2" fillId="6" borderId="1" xfId="1" applyNumberFormat="1" applyFont="1" applyFill="1" applyBorder="1" applyAlignment="1" applyProtection="1"/>
    <xf numFmtId="167" fontId="2" fillId="0" borderId="1" xfId="3" applyNumberFormat="1" applyFont="1" applyBorder="1" applyAlignment="1" applyProtection="1"/>
    <xf numFmtId="43" fontId="85" fillId="0" borderId="1" xfId="2" applyFont="1" applyBorder="1">
      <protection locked="0"/>
    </xf>
    <xf numFmtId="0" fontId="6" fillId="0" borderId="1" xfId="0" applyFont="1" applyFill="1" applyBorder="1" applyAlignment="1"/>
    <xf numFmtId="0" fontId="6" fillId="0" borderId="1" xfId="0" applyFont="1" applyFill="1" applyBorder="1" applyAlignment="1">
      <alignment horizontal="left" indent="2"/>
    </xf>
    <xf numFmtId="43" fontId="6" fillId="0" borderId="1" xfId="2" applyFont="1" applyFill="1" applyBorder="1" applyAlignment="1" applyProtection="1"/>
    <xf numFmtId="0" fontId="6" fillId="0" borderId="0" xfId="0" applyFont="1" applyFill="1" applyAlignment="1"/>
    <xf numFmtId="165" fontId="2" fillId="0" borderId="1" xfId="1" applyNumberFormat="1" applyFont="1" applyBorder="1" applyAlignment="1" applyProtection="1"/>
    <xf numFmtId="43" fontId="26" fillId="0" borderId="0" xfId="4" applyNumberFormat="1" applyFont="1" applyBorder="1" applyAlignment="1" applyProtection="1"/>
    <xf numFmtId="0" fontId="37" fillId="0" borderId="0" xfId="0" applyFont="1" applyFill="1">
      <alignment vertical="center"/>
    </xf>
    <xf numFmtId="0" fontId="3" fillId="0" borderId="0" xfId="0" applyFont="1" applyFill="1" applyAlignment="1"/>
    <xf numFmtId="0" fontId="32" fillId="0" borderId="0" xfId="0" applyFont="1" applyFill="1">
      <alignment vertical="center"/>
    </xf>
    <xf numFmtId="0" fontId="2" fillId="0" borderId="1" xfId="0" applyFont="1" applyFill="1" applyBorder="1" applyAlignment="1">
      <alignment horizontal="center" vertical="center"/>
    </xf>
    <xf numFmtId="41" fontId="2" fillId="0" borderId="1" xfId="1" applyFont="1" applyFill="1" applyBorder="1" applyAlignment="1" applyProtection="1">
      <alignment horizontal="center" vertical="center" wrapText="1"/>
    </xf>
    <xf numFmtId="41" fontId="2" fillId="0" borderId="1" xfId="1" applyFont="1" applyFill="1" applyBorder="1" applyAlignment="1" applyProtection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41" fontId="2" fillId="0" borderId="1" xfId="1" applyFont="1" applyFill="1" applyBorder="1" applyAlignment="1" applyProtection="1">
      <alignment vertical="center"/>
    </xf>
    <xf numFmtId="0" fontId="2" fillId="0" borderId="1" xfId="0" applyFont="1" applyFill="1" applyBorder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41" fontId="4" fillId="0" borderId="1" xfId="1" applyFont="1" applyFill="1" applyBorder="1" applyAlignment="1" applyProtection="1">
      <alignment horizontal="center" vertical="center" wrapText="1"/>
    </xf>
    <xf numFmtId="41" fontId="2" fillId="0" borderId="1" xfId="0" applyNumberFormat="1" applyFont="1" applyFill="1" applyBorder="1" applyAlignment="1"/>
    <xf numFmtId="41" fontId="5" fillId="0" borderId="1" xfId="1" applyFont="1" applyFill="1" applyBorder="1" applyAlignment="1" applyProtection="1"/>
    <xf numFmtId="41" fontId="6" fillId="0" borderId="0" xfId="1" applyFont="1" applyFill="1" applyAlignment="1" applyProtection="1"/>
    <xf numFmtId="41" fontId="6" fillId="0" borderId="0" xfId="0" applyNumberFormat="1" applyFont="1" applyFill="1" applyAlignment="1"/>
    <xf numFmtId="41" fontId="11" fillId="0" borderId="0" xfId="1" applyFont="1" applyFill="1" applyAlignment="1" applyProtection="1"/>
  </cellXfs>
  <cellStyles count="42">
    <cellStyle name="Comma" xfId="2" builtinId="3"/>
    <cellStyle name="Comma [0]" xfId="1" builtinId="6"/>
    <cellStyle name="Comma [0] 2" xfId="3"/>
    <cellStyle name="Comma [0] 3" xfId="7"/>
    <cellStyle name="Comma 10" xfId="20"/>
    <cellStyle name="Comma 11" xfId="21"/>
    <cellStyle name="Comma 12" xfId="22"/>
    <cellStyle name="Comma 13" xfId="23"/>
    <cellStyle name="Comma 14" xfId="24"/>
    <cellStyle name="Comma 15" xfId="25"/>
    <cellStyle name="Comma 16" xfId="26"/>
    <cellStyle name="Comma 17" xfId="27"/>
    <cellStyle name="Comma 18" xfId="28"/>
    <cellStyle name="Comma 19" xfId="29"/>
    <cellStyle name="Comma 2" xfId="5"/>
    <cellStyle name="Comma 20" xfId="30"/>
    <cellStyle name="Comma 21" xfId="31"/>
    <cellStyle name="Comma 22" xfId="32"/>
    <cellStyle name="Comma 23" xfId="33"/>
    <cellStyle name="Comma 24" xfId="34"/>
    <cellStyle name="Comma 25" xfId="35"/>
    <cellStyle name="Comma 26" xfId="36"/>
    <cellStyle name="Comma 27" xfId="37"/>
    <cellStyle name="Comma 28" xfId="38"/>
    <cellStyle name="Comma 29" xfId="39"/>
    <cellStyle name="Comma 3" xfId="13"/>
    <cellStyle name="Comma 30" xfId="40"/>
    <cellStyle name="Comma 31" xfId="41"/>
    <cellStyle name="Comma 4" xfId="14"/>
    <cellStyle name="Comma 5" xfId="15"/>
    <cellStyle name="Comma 6" xfId="16"/>
    <cellStyle name="Comma 7" xfId="17"/>
    <cellStyle name="Comma 8" xfId="18"/>
    <cellStyle name="Comma 9" xfId="19"/>
    <cellStyle name="Currency 2" xfId="10"/>
    <cellStyle name="Normal" xfId="0" builtinId="0"/>
    <cellStyle name="Normal 2" xfId="4"/>
    <cellStyle name="Normal 3" xfId="9"/>
    <cellStyle name="Normal 4" xfId="12"/>
    <cellStyle name="Percent" xfId="8" builtinId="5"/>
    <cellStyle name="Percent 2" xfId="6"/>
    <cellStyle name="Percent 3" xfId="1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://Users/user/Desktop/LAP.%20BUMDesa/jatirejo/Laporan%20Keuangan%20BUMDES%20Jatirejo%2020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SUNAN ACARA MUSDES "/>
      <sheetName val="BKU"/>
      <sheetName val="flow"/>
      <sheetName val="NERACA"/>
      <sheetName val="LAPORAN LABA"/>
      <sheetName val="PERUBAHAN MODAL"/>
      <sheetName val="note"/>
      <sheetName val="lajur"/>
      <sheetName val="penyertaan modal"/>
      <sheetName val="BANK"/>
      <sheetName val="LEMBAR PENGESAHAN"/>
    </sheetNames>
    <sheetDataSet>
      <sheetData sheetId="0"/>
      <sheetData sheetId="1">
        <row r="22">
          <cell r="J22" t="str">
            <v>Jatirejo,31 Januari 2019</v>
          </cell>
        </row>
      </sheetData>
      <sheetData sheetId="2">
        <row r="70">
          <cell r="D70">
            <v>79346034.75</v>
          </cell>
        </row>
      </sheetData>
      <sheetData sheetId="3">
        <row r="33">
          <cell r="D33" t="str">
            <v>Dilaporkan Oleh;</v>
          </cell>
          <cell r="I33" t="str">
            <v>Dibuat Oleh;</v>
          </cell>
        </row>
        <row r="40">
          <cell r="G40" t="str">
            <v>Disetujui Oleh</v>
          </cell>
        </row>
      </sheetData>
      <sheetData sheetId="4">
        <row r="34">
          <cell r="F34">
            <v>3143730.6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108"/>
  <sheetViews>
    <sheetView view="pageBreakPreview" topLeftCell="A75" zoomScale="60" zoomScaleNormal="100" workbookViewId="0">
      <selection activeCell="H103" sqref="H103"/>
    </sheetView>
  </sheetViews>
  <sheetFormatPr defaultColWidth="9" defaultRowHeight="15" x14ac:dyDescent="0.25"/>
  <cols>
    <col min="3" max="3" width="44.140625" customWidth="1"/>
    <col min="4" max="10" width="15.5703125" customWidth="1"/>
    <col min="11" max="11" width="20.140625" style="28" customWidth="1"/>
    <col min="12" max="12" width="15.28515625" customWidth="1"/>
    <col min="13" max="13" width="20" customWidth="1"/>
    <col min="14" max="260" width="10" customWidth="1"/>
    <col min="261" max="261" width="9" customWidth="1"/>
  </cols>
  <sheetData>
    <row r="1" spans="2:12" ht="19.5" x14ac:dyDescent="0.3">
      <c r="B1" s="29" t="s">
        <v>355</v>
      </c>
    </row>
    <row r="2" spans="2:12" ht="18.75" x14ac:dyDescent="0.3">
      <c r="B2" s="26" t="s">
        <v>356</v>
      </c>
    </row>
    <row r="3" spans="2:12" x14ac:dyDescent="0.25">
      <c r="B3" s="250" t="s">
        <v>412</v>
      </c>
    </row>
    <row r="4" spans="2:12" x14ac:dyDescent="0.25">
      <c r="B4" s="367" t="s">
        <v>458</v>
      </c>
    </row>
    <row r="5" spans="2:12" x14ac:dyDescent="0.25">
      <c r="B5" s="267"/>
    </row>
    <row r="6" spans="2:12" x14ac:dyDescent="0.25">
      <c r="B6" s="267"/>
    </row>
    <row r="7" spans="2:12" s="31" customFormat="1" x14ac:dyDescent="0.25">
      <c r="B7" s="856" t="s">
        <v>9</v>
      </c>
      <c r="C7" s="856" t="s">
        <v>20</v>
      </c>
      <c r="D7" s="339"/>
      <c r="E7" s="857">
        <v>2021</v>
      </c>
      <c r="F7" s="858"/>
      <c r="G7" s="858"/>
      <c r="H7" s="858"/>
      <c r="I7" s="858"/>
      <c r="J7" s="859"/>
      <c r="K7" s="860" t="s">
        <v>93</v>
      </c>
    </row>
    <row r="8" spans="2:12" s="31" customFormat="1" x14ac:dyDescent="0.25">
      <c r="B8" s="856"/>
      <c r="C8" s="856"/>
      <c r="D8" s="366"/>
      <c r="E8" s="32" t="s">
        <v>424</v>
      </c>
      <c r="F8" s="343" t="s">
        <v>425</v>
      </c>
      <c r="G8" s="32" t="s">
        <v>426</v>
      </c>
      <c r="H8" s="343" t="s">
        <v>429</v>
      </c>
      <c r="I8" s="32" t="s">
        <v>16</v>
      </c>
      <c r="J8" s="32" t="s">
        <v>17</v>
      </c>
      <c r="K8" s="860"/>
    </row>
    <row r="9" spans="2:12" x14ac:dyDescent="0.25">
      <c r="B9" s="365"/>
      <c r="C9" s="365"/>
      <c r="D9" s="365"/>
      <c r="E9" s="3"/>
      <c r="F9" s="3"/>
      <c r="G9" s="3"/>
      <c r="H9" s="3"/>
      <c r="I9" s="3"/>
      <c r="J9" s="3"/>
      <c r="K9" s="33"/>
    </row>
    <row r="10" spans="2:12" s="30" customFormat="1" x14ac:dyDescent="0.25">
      <c r="B10" s="34">
        <v>1000</v>
      </c>
      <c r="C10" s="34" t="s">
        <v>82</v>
      </c>
      <c r="D10" s="34"/>
      <c r="E10" s="368">
        <f>SUMIF('CTH lapak'!$B$8:$B$20,B10,'CTH lapak'!$E$8:$E$20)</f>
        <v>0</v>
      </c>
      <c r="F10" s="368" t="e">
        <f>SUMIF('CTH lapak'!#REF!,B10,'CTH lapak'!#REF!)</f>
        <v>#REF!</v>
      </c>
      <c r="G10" s="368" t="e">
        <f>SUMIF('CTH lapak'!#REF!,B10,'CTH lapak'!#REF!)</f>
        <v>#REF!</v>
      </c>
      <c r="H10" s="368" t="e">
        <f>SUMIF('CTH lapak'!#REF!,B10,'CTH lapak'!#REF!)</f>
        <v>#REF!</v>
      </c>
      <c r="I10" s="368" t="e">
        <f>SUMIF('CTH lapak'!#REF!,B10,'CTH lapak'!#REF!)</f>
        <v>#REF!</v>
      </c>
      <c r="J10" s="368" t="e">
        <f>SUMIF('CTH lapak'!#REF!,B10,'CTH lapak'!#REF!)</f>
        <v>#REF!</v>
      </c>
      <c r="K10" s="41" t="e">
        <f>SUM(D10:J10)</f>
        <v>#REF!</v>
      </c>
    </row>
    <row r="11" spans="2:12" s="30" customFormat="1" x14ac:dyDescent="0.25">
      <c r="B11" s="34"/>
      <c r="C11" s="34"/>
      <c r="D11" s="34"/>
      <c r="E11" s="35"/>
      <c r="F11" s="35"/>
      <c r="G11" s="35"/>
      <c r="H11" s="35"/>
      <c r="I11" s="35"/>
      <c r="J11" s="35"/>
      <c r="K11" s="36"/>
    </row>
    <row r="12" spans="2:12" s="30" customFormat="1" x14ac:dyDescent="0.25">
      <c r="B12" s="34">
        <v>2000</v>
      </c>
      <c r="C12" s="34" t="s">
        <v>90</v>
      </c>
      <c r="D12" s="35">
        <f t="shared" ref="D12:K12" si="0">SUM(D13:D13)</f>
        <v>0</v>
      </c>
      <c r="E12" s="35">
        <f t="shared" si="0"/>
        <v>16500000</v>
      </c>
      <c r="F12" s="35" t="e">
        <f t="shared" si="0"/>
        <v>#REF!</v>
      </c>
      <c r="G12" s="35" t="e">
        <f t="shared" si="0"/>
        <v>#REF!</v>
      </c>
      <c r="H12" s="35" t="e">
        <f t="shared" si="0"/>
        <v>#REF!</v>
      </c>
      <c r="I12" s="35" t="e">
        <f t="shared" si="0"/>
        <v>#REF!</v>
      </c>
      <c r="J12" s="35" t="e">
        <f t="shared" si="0"/>
        <v>#REF!</v>
      </c>
      <c r="K12" s="35" t="e">
        <f t="shared" si="0"/>
        <v>#REF!</v>
      </c>
    </row>
    <row r="13" spans="2:12" s="37" customFormat="1" x14ac:dyDescent="0.25">
      <c r="B13" s="38">
        <v>2001</v>
      </c>
      <c r="C13" s="39" t="s">
        <v>470</v>
      </c>
      <c r="D13" s="39"/>
      <c r="E13" s="40">
        <f>SUMIF('CTH lapak'!$B$8:$B$20,B13,'CTH lapak'!$E$8:$E$20)</f>
        <v>16500000</v>
      </c>
      <c r="F13" s="40" t="e">
        <f>SUMIF('CTH lapak'!#REF!,B13,'CTH lapak'!#REF!)</f>
        <v>#REF!</v>
      </c>
      <c r="G13" s="40" t="e">
        <f>SUMIF('CTH lapak'!#REF!,B13,'CTH lapak'!#REF!)</f>
        <v>#REF!</v>
      </c>
      <c r="H13" s="40" t="e">
        <f>SUMIF('CTH lapak'!#REF!,B13,'CTH lapak'!#REF!)</f>
        <v>#REF!</v>
      </c>
      <c r="I13" s="40" t="e">
        <f>SUMIF('CTH lapak'!#REF!,B13,'CTH lapak'!#REF!)</f>
        <v>#REF!</v>
      </c>
      <c r="J13" s="40" t="e">
        <f>SUMIF('CTH lapak'!#REF!,B13,'CTH lapak'!#REF!)</f>
        <v>#REF!</v>
      </c>
      <c r="K13" s="41" t="e">
        <f>SUM(D13:J13)</f>
        <v>#REF!</v>
      </c>
    </row>
    <row r="14" spans="2:12" x14ac:dyDescent="0.25">
      <c r="B14" s="98"/>
      <c r="C14" s="279"/>
      <c r="D14" s="279"/>
      <c r="E14" s="40"/>
      <c r="F14" s="40"/>
      <c r="G14" s="40"/>
      <c r="H14" s="40"/>
      <c r="I14" s="40"/>
      <c r="J14" s="40"/>
      <c r="K14" s="36"/>
    </row>
    <row r="15" spans="2:12" s="30" customFormat="1" x14ac:dyDescent="0.25">
      <c r="B15" s="276">
        <v>3000</v>
      </c>
      <c r="C15" s="276" t="s">
        <v>469</v>
      </c>
      <c r="D15" s="277">
        <f>SUM(D16:D17)</f>
        <v>0</v>
      </c>
      <c r="E15" s="277">
        <f>SUM(E16:E17)</f>
        <v>0</v>
      </c>
      <c r="F15" s="277">
        <f t="shared" ref="F15:J15" si="1">SUM(F16:F17)</f>
        <v>0</v>
      </c>
      <c r="G15" s="277">
        <f t="shared" si="1"/>
        <v>0</v>
      </c>
      <c r="H15" s="277">
        <f t="shared" si="1"/>
        <v>0</v>
      </c>
      <c r="I15" s="277">
        <f t="shared" si="1"/>
        <v>0</v>
      </c>
      <c r="J15" s="277">
        <f t="shared" si="1"/>
        <v>0</v>
      </c>
      <c r="K15" s="277">
        <f>SUM(K16:K17)</f>
        <v>0</v>
      </c>
    </row>
    <row r="16" spans="2:12" x14ac:dyDescent="0.25">
      <c r="B16" s="98">
        <v>3001</v>
      </c>
      <c r="C16" s="42" t="s">
        <v>468</v>
      </c>
      <c r="D16" s="42"/>
      <c r="E16" s="40">
        <f>SUMIF('cth gEDUNG'!$B$8:$B$26,B16,'cth gEDUNG'!$M$8:$M$26)</f>
        <v>0</v>
      </c>
      <c r="F16" s="40">
        <f>SUMIF('cth gEDUNG'!$B$33:$B$49,B16,'cth gEDUNG'!$M$33:$M$49)</f>
        <v>0</v>
      </c>
      <c r="G16" s="40">
        <f>SUMIF('cth gEDUNG'!$B$57:$B$67,B16,'cth gEDUNG'!$M$57:$M$67)</f>
        <v>0</v>
      </c>
      <c r="H16" s="40">
        <f>SUMIF('cth gEDUNG'!$B$75:$B$88,B16,'cth gEDUNG'!$M$75:$M$88)</f>
        <v>0</v>
      </c>
      <c r="I16" s="40">
        <f>SUMIF('cth gEDUNG'!$B$96:$B$110,B16,'cth gEDUNG'!$M$96:$M$110)</f>
        <v>0</v>
      </c>
      <c r="J16" s="40">
        <f>SUMIF('cth gEDUNG'!$B$118:$B$135,B16,'cth gEDUNG'!$M$118:$M$135)</f>
        <v>0</v>
      </c>
      <c r="K16" s="41">
        <f>SUM(D16:J16)</f>
        <v>0</v>
      </c>
      <c r="L16" s="45"/>
    </row>
    <row r="17" spans="1:11" x14ac:dyDescent="0.25">
      <c r="A17" s="47"/>
      <c r="B17" s="98"/>
      <c r="C17" s="42"/>
      <c r="D17" s="42"/>
      <c r="E17" s="40">
        <f>SUMIF('cth gEDUNG'!$B$8:$B$26,B17,'cth gEDUNG'!$E$8:$E$26)</f>
        <v>0</v>
      </c>
      <c r="F17" s="40">
        <f>SUMIF('cth gEDUNG'!$B$33:$B$49,B17,'cth gEDUNG'!$E$33:$E$49)</f>
        <v>0</v>
      </c>
      <c r="G17" s="40">
        <f>SUMIF('cth gEDUNG'!$B$57:$B$67,B17,'cth gEDUNG'!$E$57:$E$67)</f>
        <v>0</v>
      </c>
      <c r="H17" s="40">
        <f>SUMIF('cth gEDUNG'!$B$75:$B$88,B17,'cth gEDUNG'!$E$75:$E$88)</f>
        <v>0</v>
      </c>
      <c r="I17" s="40">
        <f>SUMIF('cth gEDUNG'!$B$96:$B$110,B17,'cth gEDUNG'!$E$96:$E$110)</f>
        <v>0</v>
      </c>
      <c r="J17" s="40">
        <f>SUMIF('cth gEDUNG'!$B$118:$B$135,B17,'cth gEDUNG'!$E$118:$E$135)</f>
        <v>0</v>
      </c>
      <c r="K17" s="41">
        <f>SUM(D17:J17)</f>
        <v>0</v>
      </c>
    </row>
    <row r="18" spans="1:11" x14ac:dyDescent="0.25">
      <c r="B18" s="98"/>
      <c r="C18" s="57"/>
      <c r="D18" s="57"/>
      <c r="E18" s="44"/>
      <c r="F18" s="44"/>
      <c r="G18" s="44"/>
      <c r="H18" s="44"/>
      <c r="I18" s="44"/>
      <c r="J18" s="44"/>
      <c r="K18" s="36"/>
    </row>
    <row r="19" spans="1:11" s="30" customFormat="1" x14ac:dyDescent="0.25">
      <c r="B19" s="49"/>
      <c r="C19" s="58" t="s">
        <v>102</v>
      </c>
      <c r="D19" s="59">
        <f t="shared" ref="D19:K19" si="2">D10+D12+D15</f>
        <v>0</v>
      </c>
      <c r="E19" s="59">
        <f t="shared" si="2"/>
        <v>16500000</v>
      </c>
      <c r="F19" s="59" t="e">
        <f t="shared" si="2"/>
        <v>#REF!</v>
      </c>
      <c r="G19" s="59" t="e">
        <f t="shared" si="2"/>
        <v>#REF!</v>
      </c>
      <c r="H19" s="59" t="e">
        <f t="shared" si="2"/>
        <v>#REF!</v>
      </c>
      <c r="I19" s="59" t="e">
        <f t="shared" si="2"/>
        <v>#REF!</v>
      </c>
      <c r="J19" s="59" t="e">
        <f t="shared" si="2"/>
        <v>#REF!</v>
      </c>
      <c r="K19" s="59" t="e">
        <f t="shared" si="2"/>
        <v>#REF!</v>
      </c>
    </row>
    <row r="20" spans="1:11" x14ac:dyDescent="0.25">
      <c r="B20" s="98"/>
      <c r="C20" s="98"/>
      <c r="D20" s="98"/>
      <c r="E20" s="44"/>
      <c r="F20" s="98"/>
      <c r="G20" s="98"/>
      <c r="H20" s="98"/>
      <c r="I20" s="98"/>
      <c r="J20" s="98"/>
      <c r="K20" s="56">
        <f>SUM(E20:G20)</f>
        <v>0</v>
      </c>
    </row>
    <row r="21" spans="1:11" x14ac:dyDescent="0.25">
      <c r="B21" s="61">
        <v>5000</v>
      </c>
      <c r="C21" s="61" t="s">
        <v>85</v>
      </c>
      <c r="D21" s="61"/>
      <c r="E21" s="60">
        <f>E22</f>
        <v>3734850</v>
      </c>
      <c r="F21" s="60" t="e">
        <f t="shared" ref="F21:J21" si="3">F22</f>
        <v>#REF!</v>
      </c>
      <c r="G21" s="60" t="e">
        <f t="shared" si="3"/>
        <v>#REF!</v>
      </c>
      <c r="H21" s="60" t="e">
        <f t="shared" si="3"/>
        <v>#REF!</v>
      </c>
      <c r="I21" s="60" t="e">
        <f t="shared" si="3"/>
        <v>#REF!</v>
      </c>
      <c r="J21" s="60" t="e">
        <f t="shared" si="3"/>
        <v>#REF!</v>
      </c>
      <c r="K21" s="60" t="e">
        <f>K22</f>
        <v>#REF!</v>
      </c>
    </row>
    <row r="22" spans="1:11" x14ac:dyDescent="0.25">
      <c r="B22" s="98">
        <v>5100</v>
      </c>
      <c r="C22" s="34" t="s">
        <v>94</v>
      </c>
      <c r="D22" s="34"/>
      <c r="E22" s="62">
        <f>SUM(E23:E29)</f>
        <v>3734850</v>
      </c>
      <c r="F22" s="62" t="e">
        <f t="shared" ref="F22:J22" si="4">SUM(F23:F29)</f>
        <v>#REF!</v>
      </c>
      <c r="G22" s="62" t="e">
        <f t="shared" si="4"/>
        <v>#REF!</v>
      </c>
      <c r="H22" s="62" t="e">
        <f t="shared" si="4"/>
        <v>#REF!</v>
      </c>
      <c r="I22" s="62" t="e">
        <f t="shared" si="4"/>
        <v>#REF!</v>
      </c>
      <c r="J22" s="62" t="e">
        <f t="shared" si="4"/>
        <v>#REF!</v>
      </c>
      <c r="K22" s="36" t="e">
        <f>SUM(K23:K29)</f>
        <v>#REF!</v>
      </c>
    </row>
    <row r="23" spans="1:11" x14ac:dyDescent="0.25">
      <c r="B23" s="98">
        <v>5101</v>
      </c>
      <c r="C23" s="42" t="s">
        <v>95</v>
      </c>
      <c r="D23" s="42"/>
      <c r="E23" s="40">
        <f>SUMIF('CTH lapak'!$B$8:$B$20,B23,'CTH lapak'!$F$8:$F$20)</f>
        <v>0</v>
      </c>
      <c r="F23" s="40" t="e">
        <f>SUMIF('CTH lapak'!#REF!,B23,'CTH lapak'!#REF!)</f>
        <v>#REF!</v>
      </c>
      <c r="G23" s="40" t="e">
        <f>SUMIF('CTH lapak'!#REF!,B23,'CTH lapak'!#REF!)</f>
        <v>#REF!</v>
      </c>
      <c r="H23" s="40" t="e">
        <f>SUMIF('CTH lapak'!#REF!,B23,'CTH lapak'!#REF!)</f>
        <v>#REF!</v>
      </c>
      <c r="I23" s="40" t="e">
        <f>SUMIF('CTH lapak'!#REF!,B23,'CTH lapak'!#REF!)</f>
        <v>#REF!</v>
      </c>
      <c r="J23" s="40" t="e">
        <f>SUMIF('CTH lapak'!#REF!,B23,'CTH lapak'!#REF!)</f>
        <v>#REF!</v>
      </c>
      <c r="K23" s="41" t="e">
        <f t="shared" ref="K23:K31" si="5">SUM(D23:J23)</f>
        <v>#REF!</v>
      </c>
    </row>
    <row r="24" spans="1:11" x14ac:dyDescent="0.25">
      <c r="B24" s="98">
        <v>5102</v>
      </c>
      <c r="C24" s="42" t="s">
        <v>96</v>
      </c>
      <c r="D24" s="42"/>
      <c r="E24" s="40">
        <f>SUMIF('CTH lapak'!$B$8:$B$20,B24,'CTH lapak'!$F$8:$F$20)</f>
        <v>1300000</v>
      </c>
      <c r="F24" s="40" t="e">
        <f>SUMIF('CTH lapak'!#REF!,B24,'CTH lapak'!#REF!)</f>
        <v>#REF!</v>
      </c>
      <c r="G24" s="40" t="e">
        <f>SUMIF('CTH lapak'!#REF!,B24,'CTH lapak'!#REF!)</f>
        <v>#REF!</v>
      </c>
      <c r="H24" s="40" t="e">
        <f>SUMIF('CTH lapak'!#REF!,B24,'CTH lapak'!#REF!)</f>
        <v>#REF!</v>
      </c>
      <c r="I24" s="40" t="e">
        <f>SUMIF('CTH lapak'!#REF!,B24,'CTH lapak'!#REF!)</f>
        <v>#REF!</v>
      </c>
      <c r="J24" s="40" t="e">
        <f>SUMIF('CTH lapak'!#REF!,B24,'CTH lapak'!#REF!)</f>
        <v>#REF!</v>
      </c>
      <c r="K24" s="41" t="e">
        <f t="shared" si="5"/>
        <v>#REF!</v>
      </c>
    </row>
    <row r="25" spans="1:11" x14ac:dyDescent="0.25">
      <c r="B25" s="98">
        <v>5103</v>
      </c>
      <c r="C25" s="279" t="s">
        <v>431</v>
      </c>
      <c r="D25" s="279"/>
      <c r="E25" s="40">
        <f>SUMIF('CTH lapak'!$B$8:$B$20,B25,'CTH lapak'!$F$8:$F$20)</f>
        <v>0</v>
      </c>
      <c r="F25" s="40" t="e">
        <f>SUMIF('CTH lapak'!#REF!,B25,'CTH lapak'!#REF!)</f>
        <v>#REF!</v>
      </c>
      <c r="G25" s="40" t="e">
        <f>SUMIF('CTH lapak'!#REF!,B25,'CTH lapak'!#REF!)</f>
        <v>#REF!</v>
      </c>
      <c r="H25" s="40" t="e">
        <f>SUMIF('CTH lapak'!#REF!,B25,'CTH lapak'!#REF!)</f>
        <v>#REF!</v>
      </c>
      <c r="I25" s="40" t="e">
        <f>SUMIF('CTH lapak'!#REF!,B25,'CTH lapak'!#REF!)</f>
        <v>#REF!</v>
      </c>
      <c r="J25" s="40" t="e">
        <f>SUMIF('CTH lapak'!#REF!,B25,'CTH lapak'!#REF!)</f>
        <v>#REF!</v>
      </c>
      <c r="K25" s="41" t="e">
        <f t="shared" si="5"/>
        <v>#REF!</v>
      </c>
    </row>
    <row r="26" spans="1:11" x14ac:dyDescent="0.25">
      <c r="B26" s="98">
        <v>5104</v>
      </c>
      <c r="C26" s="279" t="s">
        <v>432</v>
      </c>
      <c r="D26" s="279"/>
      <c r="E26" s="40">
        <f>SUMIF('CTH lapak'!$B$8:$B$20,B26,'CTH lapak'!$F$8:$F$20)</f>
        <v>0</v>
      </c>
      <c r="F26" s="40" t="e">
        <f>SUMIF('CTH lapak'!#REF!,B26,'CTH lapak'!#REF!)</f>
        <v>#REF!</v>
      </c>
      <c r="G26" s="40" t="e">
        <f>SUMIF('CTH lapak'!#REF!,B26,'CTH lapak'!#REF!)</f>
        <v>#REF!</v>
      </c>
      <c r="H26" s="40" t="e">
        <f>SUMIF('CTH lapak'!#REF!,B26,'CTH lapak'!#REF!)</f>
        <v>#REF!</v>
      </c>
      <c r="I26" s="40" t="e">
        <f>SUMIF('CTH lapak'!#REF!,B26,'CTH lapak'!#REF!)</f>
        <v>#REF!</v>
      </c>
      <c r="J26" s="40" t="e">
        <f>SUMIF('CTH lapak'!#REF!,B26,'CTH lapak'!#REF!)</f>
        <v>#REF!</v>
      </c>
      <c r="K26" s="41" t="e">
        <f t="shared" si="5"/>
        <v>#REF!</v>
      </c>
    </row>
    <row r="27" spans="1:11" x14ac:dyDescent="0.25">
      <c r="B27" s="98">
        <v>5105</v>
      </c>
      <c r="C27" s="279" t="s">
        <v>433</v>
      </c>
      <c r="D27" s="279"/>
      <c r="E27" s="40">
        <f>SUMIF('CTH lapak'!$B$8:$B$20,B27,'CTH lapak'!$F$8:$F$20)</f>
        <v>0</v>
      </c>
      <c r="F27" s="40" t="e">
        <f>SUMIF('CTH lapak'!#REF!,B27,'CTH lapak'!#REF!)</f>
        <v>#REF!</v>
      </c>
      <c r="G27" s="40" t="e">
        <f>SUMIF('CTH lapak'!#REF!,B27,'CTH lapak'!#REF!)</f>
        <v>#REF!</v>
      </c>
      <c r="H27" s="40" t="e">
        <f>SUMIF('CTH lapak'!#REF!,B27,'CTH lapak'!#REF!)</f>
        <v>#REF!</v>
      </c>
      <c r="I27" s="40" t="e">
        <f>SUMIF('CTH lapak'!#REF!,B27,'CTH lapak'!#REF!)</f>
        <v>#REF!</v>
      </c>
      <c r="J27" s="40" t="e">
        <f>SUMIF('CTH lapak'!#REF!,B27,'CTH lapak'!#REF!)</f>
        <v>#REF!</v>
      </c>
      <c r="K27" s="41" t="e">
        <f t="shared" si="5"/>
        <v>#REF!</v>
      </c>
    </row>
    <row r="28" spans="1:11" x14ac:dyDescent="0.25">
      <c r="B28" s="98">
        <v>5106</v>
      </c>
      <c r="C28" s="279" t="s">
        <v>435</v>
      </c>
      <c r="D28" s="279"/>
      <c r="E28" s="40">
        <f>SUMIF('CTH lapak'!$B$8:$B$20,B28,'CTH lapak'!$F$8:$F$20)</f>
        <v>0</v>
      </c>
      <c r="F28" s="40" t="e">
        <f>SUMIF('CTH lapak'!#REF!,B28,'CTH lapak'!#REF!)</f>
        <v>#REF!</v>
      </c>
      <c r="G28" s="40" t="e">
        <f>SUMIF('CTH lapak'!#REF!,B28,'CTH lapak'!#REF!)</f>
        <v>#REF!</v>
      </c>
      <c r="H28" s="40" t="e">
        <f>SUMIF('CTH lapak'!#REF!,B28,'CTH lapak'!#REF!)</f>
        <v>#REF!</v>
      </c>
      <c r="I28" s="40" t="e">
        <f>SUMIF('CTH lapak'!#REF!,B28,'CTH lapak'!#REF!)</f>
        <v>#REF!</v>
      </c>
      <c r="J28" s="40" t="e">
        <f>SUMIF('CTH lapak'!#REF!,B28,'CTH lapak'!#REF!)</f>
        <v>#REF!</v>
      </c>
      <c r="K28" s="41" t="e">
        <f t="shared" si="5"/>
        <v>#REF!</v>
      </c>
    </row>
    <row r="29" spans="1:11" x14ac:dyDescent="0.25">
      <c r="B29" s="98">
        <v>5109</v>
      </c>
      <c r="C29" s="279" t="s">
        <v>434</v>
      </c>
      <c r="D29" s="279"/>
      <c r="E29" s="40">
        <f>SUMIF('CTH lapak'!$B$8:$B$20,B29,'CTH lapak'!$F$8:$F$20)</f>
        <v>2434850</v>
      </c>
      <c r="F29" s="40" t="e">
        <f>SUMIF('CTH lapak'!#REF!,B29,'CTH lapak'!#REF!)</f>
        <v>#REF!</v>
      </c>
      <c r="G29" s="40" t="e">
        <f>SUMIF('CTH lapak'!#REF!,B29,'CTH lapak'!#REF!)</f>
        <v>#REF!</v>
      </c>
      <c r="H29" s="40" t="e">
        <f>SUMIF('CTH lapak'!#REF!,B29,'CTH lapak'!#REF!)</f>
        <v>#REF!</v>
      </c>
      <c r="I29" s="40" t="e">
        <f>SUMIF('CTH lapak'!#REF!,B29,'CTH lapak'!#REF!)</f>
        <v>#REF!</v>
      </c>
      <c r="J29" s="40" t="e">
        <f>SUMIF('CTH lapak'!#REF!,B29,'CTH lapak'!#REF!)</f>
        <v>#REF!</v>
      </c>
      <c r="K29" s="41" t="e">
        <f t="shared" si="5"/>
        <v>#REF!</v>
      </c>
    </row>
    <row r="30" spans="1:11" x14ac:dyDescent="0.25">
      <c r="B30" s="98"/>
      <c r="C30" s="98"/>
      <c r="D30" s="98"/>
      <c r="E30" s="98"/>
      <c r="F30" s="98"/>
      <c r="G30" s="98"/>
      <c r="H30" s="98"/>
      <c r="I30" s="98"/>
      <c r="J30" s="98"/>
      <c r="K30" s="41">
        <f t="shared" si="5"/>
        <v>0</v>
      </c>
    </row>
    <row r="31" spans="1:11" x14ac:dyDescent="0.25">
      <c r="B31" s="390">
        <v>5200</v>
      </c>
      <c r="C31" s="391" t="s">
        <v>438</v>
      </c>
      <c r="D31" s="391"/>
      <c r="E31" s="390">
        <f>E32</f>
        <v>1200000</v>
      </c>
      <c r="F31" s="390" t="e">
        <f t="shared" ref="F31:J31" si="6">F32</f>
        <v>#REF!</v>
      </c>
      <c r="G31" s="390" t="e">
        <f t="shared" si="6"/>
        <v>#REF!</v>
      </c>
      <c r="H31" s="390" t="e">
        <f t="shared" si="6"/>
        <v>#REF!</v>
      </c>
      <c r="I31" s="392" t="e">
        <f>I32</f>
        <v>#REF!</v>
      </c>
      <c r="J31" s="390" t="e">
        <f t="shared" si="6"/>
        <v>#REF!</v>
      </c>
      <c r="K31" s="393" t="e">
        <f t="shared" si="5"/>
        <v>#REF!</v>
      </c>
    </row>
    <row r="32" spans="1:11" x14ac:dyDescent="0.25">
      <c r="B32" s="98">
        <v>5201</v>
      </c>
      <c r="C32" s="98" t="s">
        <v>473</v>
      </c>
      <c r="D32" s="330"/>
      <c r="E32" s="40">
        <f>SUMIF('CTH lapak'!$B$8:$B$20,B32,'CTH lapak'!$F$8:$F$20)</f>
        <v>1200000</v>
      </c>
      <c r="F32" s="40" t="e">
        <f>SUMIF('CTH lapak'!#REF!,B32,'CTH lapak'!#REF!)</f>
        <v>#REF!</v>
      </c>
      <c r="G32" s="40" t="e">
        <f>SUMIF('CTH lapak'!#REF!,B32,'CTH lapak'!#REF!)</f>
        <v>#REF!</v>
      </c>
      <c r="H32" s="40" t="e">
        <f>SUMIF('CTH lapak'!#REF!,B32,'CTH lapak'!#REF!)</f>
        <v>#REF!</v>
      </c>
      <c r="I32" s="40" t="e">
        <f>SUMIF('CTH lapak'!#REF!,B32,'CTH lapak'!#REF!)</f>
        <v>#REF!</v>
      </c>
      <c r="J32" s="40" t="e">
        <f>SUMIF('CTH lapak'!#REF!,B32,'CTH lapak'!#REF!)</f>
        <v>#REF!</v>
      </c>
      <c r="K32" s="313" t="e">
        <f>SUM(D32:J32)</f>
        <v>#REF!</v>
      </c>
    </row>
    <row r="33" spans="2:13" x14ac:dyDescent="0.25">
      <c r="B33" s="98"/>
      <c r="C33" s="278"/>
      <c r="D33" s="278"/>
      <c r="E33" s="40"/>
      <c r="F33" s="98"/>
      <c r="G33" s="98"/>
      <c r="H33" s="98"/>
      <c r="I33" s="98"/>
      <c r="J33" s="98"/>
      <c r="K33" s="56"/>
    </row>
    <row r="34" spans="2:13" s="30" customFormat="1" x14ac:dyDescent="0.25">
      <c r="B34" s="386">
        <v>3000</v>
      </c>
      <c r="C34" s="386" t="s">
        <v>459</v>
      </c>
      <c r="D34" s="388"/>
      <c r="E34" s="387">
        <f t="shared" ref="E34:K34" si="7">SUM(E35:E35)</f>
        <v>0</v>
      </c>
      <c r="F34" s="387">
        <f t="shared" si="7"/>
        <v>0</v>
      </c>
      <c r="G34" s="387">
        <f t="shared" si="7"/>
        <v>0</v>
      </c>
      <c r="H34" s="387">
        <f t="shared" si="7"/>
        <v>0</v>
      </c>
      <c r="I34" s="387">
        <f t="shared" si="7"/>
        <v>0</v>
      </c>
      <c r="J34" s="387">
        <f t="shared" si="7"/>
        <v>0</v>
      </c>
      <c r="K34" s="387">
        <f t="shared" si="7"/>
        <v>0</v>
      </c>
      <c r="L34" s="64"/>
    </row>
    <row r="35" spans="2:13" x14ac:dyDescent="0.25">
      <c r="B35" s="98">
        <v>3001</v>
      </c>
      <c r="C35" s="42" t="s">
        <v>459</v>
      </c>
      <c r="D35" s="279"/>
      <c r="E35" s="40"/>
      <c r="F35" s="40"/>
      <c r="G35" s="40"/>
      <c r="H35" s="40"/>
      <c r="I35" s="40"/>
      <c r="J35" s="40"/>
      <c r="K35" s="313">
        <f>SUM(D35:J35)</f>
        <v>0</v>
      </c>
      <c r="L35" s="43"/>
      <c r="M35" s="43"/>
    </row>
    <row r="36" spans="2:13" ht="15.75" thickBot="1" x14ac:dyDescent="0.3">
      <c r="B36" s="98"/>
      <c r="C36" s="42"/>
      <c r="D36" s="42"/>
      <c r="E36" s="40">
        <f>SUMIF('cth gEDUNG'!$B$8:$B$26,B36,'cth gEDUNG'!$F$8:$F$26)</f>
        <v>0</v>
      </c>
      <c r="F36" s="40">
        <f>SUMIF('cth gEDUNG'!$B$33:$B$49,B36,'cth gEDUNG'!$F$33:$F$49)</f>
        <v>0</v>
      </c>
      <c r="G36" s="40">
        <f>SUMIF('cth gEDUNG'!$B$57:$B$67,B36,'cth gEDUNG'!$F$57:$F$67)</f>
        <v>0</v>
      </c>
      <c r="H36" s="40">
        <f>SUMIF('cth gEDUNG'!$B$75:$B$88,B36,'cth gEDUNG'!$F$75:$F$88)</f>
        <v>0</v>
      </c>
      <c r="I36" s="40">
        <f>SUMIF('cth gEDUNG'!$B$96:$B$110,B36,'cth gEDUNG'!$F$96:$F$110)</f>
        <v>0</v>
      </c>
      <c r="J36" s="40">
        <f>SUMIF('cth gEDUNG'!$B$118:$B$135,B36,'cth gEDUNG'!$F$118:$F$135)</f>
        <v>0</v>
      </c>
      <c r="K36" s="313">
        <f t="shared" ref="K36" si="8">SUM(E36:J36)</f>
        <v>0</v>
      </c>
      <c r="L36" s="43"/>
    </row>
    <row r="37" spans="2:13" s="65" customFormat="1" ht="19.5" customHeight="1" x14ac:dyDescent="0.25">
      <c r="B37" s="296"/>
      <c r="C37" s="296" t="s">
        <v>5</v>
      </c>
      <c r="D37" s="296"/>
      <c r="E37" s="297">
        <f>E34+E21+E31</f>
        <v>4934850</v>
      </c>
      <c r="F37" s="297" t="e">
        <f t="shared" ref="F37:J37" si="9">F34+F21+F31</f>
        <v>#REF!</v>
      </c>
      <c r="G37" s="297" t="e">
        <f t="shared" si="9"/>
        <v>#REF!</v>
      </c>
      <c r="H37" s="355" t="e">
        <f t="shared" si="9"/>
        <v>#REF!</v>
      </c>
      <c r="I37" s="297" t="e">
        <f t="shared" si="9"/>
        <v>#REF!</v>
      </c>
      <c r="J37" s="297" t="e">
        <f t="shared" si="9"/>
        <v>#REF!</v>
      </c>
      <c r="K37" s="297" t="e">
        <f>K34+K21</f>
        <v>#REF!</v>
      </c>
      <c r="L37" s="66"/>
    </row>
    <row r="38" spans="2:13" s="65" customFormat="1" ht="19.5" customHeight="1" thickBot="1" x14ac:dyDescent="0.3">
      <c r="B38" s="298"/>
      <c r="C38" s="298" t="s">
        <v>100</v>
      </c>
      <c r="D38" s="298"/>
      <c r="E38" s="299">
        <f t="shared" ref="E38:K38" si="10">E19-E37</f>
        <v>11565150</v>
      </c>
      <c r="F38" s="299" t="e">
        <f t="shared" si="10"/>
        <v>#REF!</v>
      </c>
      <c r="G38" s="299" t="e">
        <f t="shared" si="10"/>
        <v>#REF!</v>
      </c>
      <c r="H38" s="299" t="e">
        <f t="shared" si="10"/>
        <v>#REF!</v>
      </c>
      <c r="I38" s="299" t="e">
        <f t="shared" si="10"/>
        <v>#REF!</v>
      </c>
      <c r="J38" s="299" t="e">
        <f t="shared" si="10"/>
        <v>#REF!</v>
      </c>
      <c r="K38" s="299" t="e">
        <f t="shared" si="10"/>
        <v>#REF!</v>
      </c>
    </row>
    <row r="41" spans="2:13" ht="19.5" x14ac:dyDescent="0.3">
      <c r="B41" s="29" t="s">
        <v>355</v>
      </c>
    </row>
    <row r="42" spans="2:13" ht="18.75" x14ac:dyDescent="0.3">
      <c r="B42" s="26" t="s">
        <v>356</v>
      </c>
    </row>
    <row r="43" spans="2:13" x14ac:dyDescent="0.25">
      <c r="B43" s="250" t="s">
        <v>412</v>
      </c>
    </row>
    <row r="44" spans="2:13" x14ac:dyDescent="0.25">
      <c r="B44" s="267" t="s">
        <v>430</v>
      </c>
    </row>
    <row r="45" spans="2:13" x14ac:dyDescent="0.25">
      <c r="B45" s="267"/>
    </row>
    <row r="46" spans="2:13" x14ac:dyDescent="0.25">
      <c r="B46" s="267"/>
    </row>
    <row r="47" spans="2:13" x14ac:dyDescent="0.25">
      <c r="B47" s="856" t="s">
        <v>9</v>
      </c>
      <c r="C47" s="856" t="s">
        <v>20</v>
      </c>
      <c r="D47" s="340" t="s">
        <v>445</v>
      </c>
      <c r="E47" s="857">
        <v>2021</v>
      </c>
      <c r="F47" s="858"/>
      <c r="G47" s="858"/>
      <c r="H47" s="858"/>
      <c r="I47" s="858"/>
      <c r="J47" s="859"/>
      <c r="K47" s="860" t="s">
        <v>93</v>
      </c>
    </row>
    <row r="48" spans="2:13" x14ac:dyDescent="0.25">
      <c r="B48" s="856"/>
      <c r="C48" s="856"/>
      <c r="D48" s="366"/>
      <c r="E48" s="338" t="s">
        <v>440</v>
      </c>
      <c r="F48" s="338" t="s">
        <v>441</v>
      </c>
      <c r="G48" s="338" t="s">
        <v>442</v>
      </c>
      <c r="H48" s="338" t="s">
        <v>443</v>
      </c>
      <c r="I48" s="338" t="s">
        <v>14</v>
      </c>
      <c r="J48" s="338" t="s">
        <v>15</v>
      </c>
      <c r="K48" s="860"/>
    </row>
    <row r="49" spans="2:12" x14ac:dyDescent="0.25">
      <c r="B49" s="365"/>
      <c r="C49" s="365"/>
      <c r="D49" s="365"/>
      <c r="E49" s="3"/>
      <c r="F49" s="3"/>
      <c r="G49" s="3"/>
      <c r="H49" s="3"/>
      <c r="I49" s="3"/>
      <c r="J49" s="3"/>
      <c r="K49" s="33"/>
    </row>
    <row r="50" spans="2:12" x14ac:dyDescent="0.25">
      <c r="B50" s="34">
        <v>1000</v>
      </c>
      <c r="C50" s="34" t="s">
        <v>82</v>
      </c>
      <c r="D50" s="389" t="e">
        <f>K10</f>
        <v>#REF!</v>
      </c>
      <c r="E50" s="35"/>
      <c r="F50" s="35">
        <f>SUMIF('cth sp'!$B$89:$B$107,B50,'cth sp'!$E$89:$E$107)</f>
        <v>0</v>
      </c>
      <c r="G50" s="35"/>
      <c r="H50" s="35"/>
      <c r="I50" s="35"/>
      <c r="J50" s="35"/>
      <c r="K50" s="36">
        <f>SUM(E50:G50)</f>
        <v>0</v>
      </c>
    </row>
    <row r="51" spans="2:12" x14ac:dyDescent="0.25">
      <c r="B51" s="34"/>
      <c r="C51" s="34"/>
      <c r="D51" s="34"/>
      <c r="E51" s="35"/>
      <c r="F51" s="35"/>
      <c r="G51" s="35"/>
      <c r="H51" s="35"/>
      <c r="I51" s="35"/>
      <c r="J51" s="35"/>
      <c r="K51" s="36"/>
    </row>
    <row r="52" spans="2:12" x14ac:dyDescent="0.25">
      <c r="B52" s="384">
        <v>2000</v>
      </c>
      <c r="C52" s="384" t="s">
        <v>90</v>
      </c>
      <c r="D52" s="385" t="e">
        <f t="shared" ref="D52:K52" si="11">SUM(D53:D53)</f>
        <v>#REF!</v>
      </c>
      <c r="E52" s="385" t="e">
        <f t="shared" si="11"/>
        <v>#REF!</v>
      </c>
      <c r="F52" s="385" t="e">
        <f t="shared" si="11"/>
        <v>#REF!</v>
      </c>
      <c r="G52" s="385" t="e">
        <f t="shared" si="11"/>
        <v>#REF!</v>
      </c>
      <c r="H52" s="385" t="e">
        <f t="shared" si="11"/>
        <v>#REF!</v>
      </c>
      <c r="I52" s="385" t="e">
        <f t="shared" si="11"/>
        <v>#REF!</v>
      </c>
      <c r="J52" s="385" t="e">
        <f t="shared" si="11"/>
        <v>#REF!</v>
      </c>
      <c r="K52" s="385" t="e">
        <f t="shared" si="11"/>
        <v>#REF!</v>
      </c>
      <c r="L52" s="342"/>
    </row>
    <row r="53" spans="2:12" x14ac:dyDescent="0.25">
      <c r="B53" s="38">
        <v>2001</v>
      </c>
      <c r="C53" s="39" t="s">
        <v>470</v>
      </c>
      <c r="D53" s="341" t="e">
        <f>K13</f>
        <v>#REF!</v>
      </c>
      <c r="E53" s="40" t="e">
        <f>SUMIF('CTH lapak'!#REF!,B53,'CTH lapak'!#REF!)</f>
        <v>#REF!</v>
      </c>
      <c r="F53" s="40" t="e">
        <f>SUMIF('CTH lapak'!#REF!,B53,'CTH lapak'!#REF!)</f>
        <v>#REF!</v>
      </c>
      <c r="G53" s="40" t="e">
        <f>SUMIF('CTH lapak'!#REF!,B53,'CTH lapak'!#REF!)</f>
        <v>#REF!</v>
      </c>
      <c r="H53" s="40" t="e">
        <f>SUMIF('CTH lapak'!#REF!,B53,'CTH lapak'!#REF!)</f>
        <v>#REF!</v>
      </c>
      <c r="I53" s="40" t="e">
        <f>SUMIF('CTH lapak'!#REF!,B53,'CTH lapak'!#REF!)</f>
        <v>#REF!</v>
      </c>
      <c r="J53" s="40" t="e">
        <f>SUMIF('CTH lapak'!#REF!,B53,'CTH lapak'!#REF!)</f>
        <v>#REF!</v>
      </c>
      <c r="K53" s="41" t="e">
        <f>SUM(D53:J53)</f>
        <v>#REF!</v>
      </c>
    </row>
    <row r="54" spans="2:12" x14ac:dyDescent="0.25">
      <c r="B54" s="98"/>
      <c r="C54" s="279"/>
      <c r="D54" s="279"/>
      <c r="E54" s="40"/>
      <c r="F54" s="40"/>
      <c r="G54" s="40"/>
      <c r="H54" s="40"/>
      <c r="I54" s="40"/>
      <c r="J54" s="40"/>
      <c r="K54" s="36"/>
    </row>
    <row r="55" spans="2:12" x14ac:dyDescent="0.25">
      <c r="B55" s="276">
        <v>3000</v>
      </c>
      <c r="C55" s="276" t="s">
        <v>469</v>
      </c>
      <c r="D55" s="277">
        <f>SUM(D56:D57)</f>
        <v>0</v>
      </c>
      <c r="E55" s="277" t="e">
        <f t="shared" ref="E55:K55" si="12">SUM(E56:E57)</f>
        <v>#REF!</v>
      </c>
      <c r="F55" s="277" t="e">
        <f t="shared" si="12"/>
        <v>#REF!</v>
      </c>
      <c r="G55" s="277" t="e">
        <f t="shared" si="12"/>
        <v>#REF!</v>
      </c>
      <c r="H55" s="277" t="e">
        <f t="shared" si="12"/>
        <v>#REF!</v>
      </c>
      <c r="I55" s="277" t="e">
        <f t="shared" si="12"/>
        <v>#REF!</v>
      </c>
      <c r="J55" s="277" t="e">
        <f t="shared" si="12"/>
        <v>#REF!</v>
      </c>
      <c r="K55" s="277" t="e">
        <f t="shared" si="12"/>
        <v>#REF!</v>
      </c>
    </row>
    <row r="56" spans="2:12" x14ac:dyDescent="0.25">
      <c r="B56" s="98">
        <v>3001</v>
      </c>
      <c r="C56" s="42" t="s">
        <v>509</v>
      </c>
      <c r="D56" s="341">
        <f>K16</f>
        <v>0</v>
      </c>
      <c r="E56" s="40" t="e">
        <f>SUMIF('CTH lapak'!#REF!,B56,'CTH lapak'!#REF!)</f>
        <v>#REF!</v>
      </c>
      <c r="F56" s="40" t="e">
        <f>SUMIF('CTH lapak'!#REF!,B56,'CTH lapak'!#REF!)</f>
        <v>#REF!</v>
      </c>
      <c r="G56" s="40" t="e">
        <f>SUMIF('CTH lapak'!#REF!,B56,'CTH lapak'!#REF!)</f>
        <v>#REF!</v>
      </c>
      <c r="H56" s="40" t="e">
        <f>SUMIF('CTH lapak'!#REF!,B56,'CTH lapak'!#REF!)</f>
        <v>#REF!</v>
      </c>
      <c r="I56" s="40" t="e">
        <f>SUMIF('CTH lapak'!#REF!,B56,'CTH lapak'!#REF!)</f>
        <v>#REF!</v>
      </c>
      <c r="J56" s="40" t="e">
        <f>SUMIF('CTH lapak'!#REF!,B56,'CTH lapak'!#REF!)</f>
        <v>#REF!</v>
      </c>
      <c r="K56" s="41" t="e">
        <f>SUM(D56:J56)</f>
        <v>#REF!</v>
      </c>
    </row>
    <row r="57" spans="2:12" x14ac:dyDescent="0.25">
      <c r="B57" s="98"/>
      <c r="C57" s="42"/>
      <c r="D57" s="341">
        <f>K17</f>
        <v>0</v>
      </c>
      <c r="E57" s="40">
        <f>SUMIF('cth gEDUNG'!$B$142:$B$158,B57,'cth gEDUNG'!$E$142:$E$158)</f>
        <v>0</v>
      </c>
      <c r="F57" s="40">
        <f>SUMIF('cth gEDUNG'!$B$165:$B$181,B57,'cth gEDUNG'!$E$165:$E$181)</f>
        <v>0</v>
      </c>
      <c r="G57" s="40">
        <f>SUMIF('cth gEDUNG'!$B$188:$B$202,B57,'cth gEDUNG'!$E$188:$E$202)</f>
        <v>0</v>
      </c>
      <c r="H57" s="40">
        <f>SUMIF('cth gEDUNG'!$B$209:$B$224,B57,'cth gEDUNG'!$E$209:$E$224)</f>
        <v>0</v>
      </c>
      <c r="I57" s="40">
        <f>SUMIF('cth gEDUNG'!$B$231:$B$249,B57,'cth gEDUNG'!$E$231:$E$249)</f>
        <v>0</v>
      </c>
      <c r="J57" s="40">
        <f>SUMIF('cth gEDUNG'!$B$256:$B$276,B57,'cth gEDUNG'!$E$256:$E$276)</f>
        <v>0</v>
      </c>
      <c r="K57" s="41">
        <f>SUM(E57:J57)</f>
        <v>0</v>
      </c>
    </row>
    <row r="58" spans="2:12" x14ac:dyDescent="0.25">
      <c r="B58" s="98"/>
      <c r="C58" s="57"/>
      <c r="D58" s="57"/>
      <c r="E58" s="44"/>
      <c r="F58" s="44"/>
      <c r="G58" s="44"/>
      <c r="H58" s="44"/>
      <c r="I58" s="44"/>
      <c r="J58" s="44"/>
      <c r="K58" s="36"/>
    </row>
    <row r="59" spans="2:12" x14ac:dyDescent="0.25">
      <c r="B59" s="49"/>
      <c r="C59" s="58" t="s">
        <v>102</v>
      </c>
      <c r="D59" s="59" t="e">
        <f>D50+D52+D55</f>
        <v>#REF!</v>
      </c>
      <c r="E59" s="59" t="e">
        <f>E50+E52+E55</f>
        <v>#REF!</v>
      </c>
      <c r="F59" s="59" t="e">
        <f t="shared" ref="F59:J59" si="13">F50+F52+F55</f>
        <v>#REF!</v>
      </c>
      <c r="G59" s="59" t="e">
        <f t="shared" si="13"/>
        <v>#REF!</v>
      </c>
      <c r="H59" s="59" t="e">
        <f t="shared" si="13"/>
        <v>#REF!</v>
      </c>
      <c r="I59" s="59" t="e">
        <f t="shared" si="13"/>
        <v>#REF!</v>
      </c>
      <c r="J59" s="59" t="e">
        <f t="shared" si="13"/>
        <v>#REF!</v>
      </c>
      <c r="K59" s="59" t="e">
        <f>K50+K52+K55</f>
        <v>#REF!</v>
      </c>
    </row>
    <row r="60" spans="2:12" x14ac:dyDescent="0.25">
      <c r="B60" s="98"/>
      <c r="C60" s="98"/>
      <c r="D60" s="98"/>
      <c r="E60" s="44">
        <f>SUMIF('cth sp'!$B$9:$B$84,B60,'cth sp'!$E$9:$E$84)</f>
        <v>0</v>
      </c>
      <c r="F60" s="98"/>
      <c r="G60" s="98"/>
      <c r="H60" s="98"/>
      <c r="I60" s="98"/>
      <c r="J60" s="98"/>
      <c r="K60" s="56">
        <f>SUM(E60:G60)</f>
        <v>0</v>
      </c>
      <c r="L60" s="342"/>
    </row>
    <row r="61" spans="2:12" x14ac:dyDescent="0.25">
      <c r="B61" s="61">
        <v>5000</v>
      </c>
      <c r="C61" s="61" t="s">
        <v>85</v>
      </c>
      <c r="D61" s="60" t="e">
        <f>D62</f>
        <v>#REF!</v>
      </c>
      <c r="E61" s="60" t="e">
        <f>E62</f>
        <v>#REF!</v>
      </c>
      <c r="F61" s="60" t="e">
        <f t="shared" ref="F61:J61" si="14">F62</f>
        <v>#REF!</v>
      </c>
      <c r="G61" s="60" t="e">
        <f t="shared" si="14"/>
        <v>#REF!</v>
      </c>
      <c r="H61" s="60" t="e">
        <f t="shared" si="14"/>
        <v>#REF!</v>
      </c>
      <c r="I61" s="60" t="e">
        <f t="shared" si="14"/>
        <v>#REF!</v>
      </c>
      <c r="J61" s="60" t="e">
        <f t="shared" si="14"/>
        <v>#REF!</v>
      </c>
      <c r="K61" s="60" t="e">
        <f>K62</f>
        <v>#REF!</v>
      </c>
    </row>
    <row r="62" spans="2:12" x14ac:dyDescent="0.25">
      <c r="B62" s="98">
        <v>5100</v>
      </c>
      <c r="C62" s="34" t="s">
        <v>94</v>
      </c>
      <c r="D62" s="62" t="e">
        <f>SUM(D63:D69)</f>
        <v>#REF!</v>
      </c>
      <c r="E62" s="62" t="e">
        <f>SUM(E63:E69)</f>
        <v>#REF!</v>
      </c>
      <c r="F62" s="62" t="e">
        <f t="shared" ref="F62:J62" si="15">SUM(F63:F69)</f>
        <v>#REF!</v>
      </c>
      <c r="G62" s="62" t="e">
        <f t="shared" si="15"/>
        <v>#REF!</v>
      </c>
      <c r="H62" s="62" t="e">
        <f t="shared" si="15"/>
        <v>#REF!</v>
      </c>
      <c r="I62" s="62" t="e">
        <f t="shared" si="15"/>
        <v>#REF!</v>
      </c>
      <c r="J62" s="62" t="e">
        <f t="shared" si="15"/>
        <v>#REF!</v>
      </c>
      <c r="K62" s="36" t="e">
        <f>SUM(K63:K69)</f>
        <v>#REF!</v>
      </c>
    </row>
    <row r="63" spans="2:12" x14ac:dyDescent="0.25">
      <c r="B63" s="98">
        <v>5101</v>
      </c>
      <c r="C63" s="42" t="s">
        <v>95</v>
      </c>
      <c r="D63" s="341" t="e">
        <f>K23</f>
        <v>#REF!</v>
      </c>
      <c r="E63" s="40" t="e">
        <f>SUMIF('CTH lapak'!#REF!,B63,'CTH lapak'!#REF!)</f>
        <v>#REF!</v>
      </c>
      <c r="F63" s="40" t="e">
        <f>SUMIF('CTH lapak'!#REF!,B63,'CTH lapak'!#REF!)</f>
        <v>#REF!</v>
      </c>
      <c r="G63" s="40" t="e">
        <f>SUMIF('CTH lapak'!#REF!,B63,'CTH lapak'!#REF!)</f>
        <v>#REF!</v>
      </c>
      <c r="H63" s="40" t="e">
        <f>SUMIF('CTH lapak'!#REF!,B63,'CTH lapak'!#REF!)</f>
        <v>#REF!</v>
      </c>
      <c r="I63" s="40" t="e">
        <f>SUMIF('CTH lapak'!#REF!,B63,'CTH lapak'!#REF!)</f>
        <v>#REF!</v>
      </c>
      <c r="J63" s="40" t="e">
        <f>SUMIF('CTH lapak'!#REF!,B63,'CTH lapak'!#REF!)</f>
        <v>#REF!</v>
      </c>
      <c r="K63" s="41" t="e">
        <f t="shared" ref="K63:K69" si="16">SUM(D63:J63)</f>
        <v>#REF!</v>
      </c>
    </row>
    <row r="64" spans="2:12" x14ac:dyDescent="0.25">
      <c r="B64" s="98">
        <v>5102</v>
      </c>
      <c r="C64" s="42" t="s">
        <v>472</v>
      </c>
      <c r="D64" s="341" t="e">
        <f t="shared" ref="D64:D69" si="17">K24</f>
        <v>#REF!</v>
      </c>
      <c r="E64" s="40" t="e">
        <f>SUMIF('CTH lapak'!#REF!,B64,'CTH lapak'!#REF!)</f>
        <v>#REF!</v>
      </c>
      <c r="F64" s="40" t="e">
        <f>SUMIF('CTH lapak'!#REF!,B64,'CTH lapak'!#REF!)</f>
        <v>#REF!</v>
      </c>
      <c r="G64" s="40" t="e">
        <f>SUMIF('CTH lapak'!#REF!,B64,'CTH lapak'!#REF!)</f>
        <v>#REF!</v>
      </c>
      <c r="H64" s="40" t="e">
        <f>SUMIF('CTH lapak'!#REF!,B64,'CTH lapak'!#REF!)</f>
        <v>#REF!</v>
      </c>
      <c r="I64" s="40" t="e">
        <f>SUMIF('CTH lapak'!#REF!,B64,'CTH lapak'!#REF!)</f>
        <v>#REF!</v>
      </c>
      <c r="J64" s="40" t="e">
        <f>SUMIF('CTH lapak'!#REF!,B64,'CTH lapak'!#REF!)</f>
        <v>#REF!</v>
      </c>
      <c r="K64" s="41" t="e">
        <f t="shared" si="16"/>
        <v>#REF!</v>
      </c>
    </row>
    <row r="65" spans="2:12" x14ac:dyDescent="0.25">
      <c r="B65" s="98">
        <v>5103</v>
      </c>
      <c r="C65" s="42" t="s">
        <v>471</v>
      </c>
      <c r="D65" s="341" t="e">
        <f t="shared" si="17"/>
        <v>#REF!</v>
      </c>
      <c r="E65" s="40" t="e">
        <f>SUMIF('CTH lapak'!#REF!,B65,'CTH lapak'!#REF!)</f>
        <v>#REF!</v>
      </c>
      <c r="F65" s="40" t="e">
        <f>SUMIF('CTH lapak'!#REF!,B65,'CTH lapak'!#REF!)</f>
        <v>#REF!</v>
      </c>
      <c r="G65" s="40" t="e">
        <f>SUMIF('CTH lapak'!#REF!,B65,'CTH lapak'!#REF!)</f>
        <v>#REF!</v>
      </c>
      <c r="H65" s="40" t="e">
        <f>SUMIF('CTH lapak'!#REF!,B65,'CTH lapak'!#REF!)</f>
        <v>#REF!</v>
      </c>
      <c r="I65" s="40" t="e">
        <f>SUMIF('CTH lapak'!#REF!,B65,'CTH lapak'!#REF!)</f>
        <v>#REF!</v>
      </c>
      <c r="J65" s="40" t="e">
        <f>SUMIF('CTH lapak'!#REF!,B65,'CTH lapak'!#REF!)</f>
        <v>#REF!</v>
      </c>
      <c r="K65" s="41" t="e">
        <f t="shared" si="16"/>
        <v>#REF!</v>
      </c>
    </row>
    <row r="66" spans="2:12" x14ac:dyDescent="0.25">
      <c r="B66" s="98">
        <v>5104</v>
      </c>
      <c r="C66" s="279" t="s">
        <v>432</v>
      </c>
      <c r="D66" s="341" t="e">
        <f t="shared" si="17"/>
        <v>#REF!</v>
      </c>
      <c r="E66" s="40" t="e">
        <f>SUMIF('CTH lapak'!#REF!,B66,'CTH lapak'!#REF!)</f>
        <v>#REF!</v>
      </c>
      <c r="F66" s="40" t="e">
        <f>SUMIF('CTH lapak'!#REF!,B66,'CTH lapak'!#REF!)</f>
        <v>#REF!</v>
      </c>
      <c r="G66" s="40" t="e">
        <f>SUMIF('CTH lapak'!#REF!,B66,'CTH lapak'!#REF!)</f>
        <v>#REF!</v>
      </c>
      <c r="H66" s="40" t="e">
        <f>SUMIF('CTH lapak'!#REF!,B66,'CTH lapak'!#REF!)</f>
        <v>#REF!</v>
      </c>
      <c r="I66" s="40" t="e">
        <f>SUMIF('CTH lapak'!#REF!,B66,'CTH lapak'!#REF!)</f>
        <v>#REF!</v>
      </c>
      <c r="J66" s="40" t="e">
        <f>SUMIF('CTH lapak'!#REF!,B66,'CTH lapak'!#REF!)</f>
        <v>#REF!</v>
      </c>
      <c r="K66" s="41" t="e">
        <f t="shared" si="16"/>
        <v>#REF!</v>
      </c>
    </row>
    <row r="67" spans="2:12" x14ac:dyDescent="0.25">
      <c r="B67" s="98">
        <v>5105</v>
      </c>
      <c r="C67" s="279" t="s">
        <v>433</v>
      </c>
      <c r="D67" s="341" t="e">
        <f t="shared" si="17"/>
        <v>#REF!</v>
      </c>
      <c r="E67" s="40" t="e">
        <f>SUMIF('CTH lapak'!#REF!,B67,'CTH lapak'!#REF!)</f>
        <v>#REF!</v>
      </c>
      <c r="F67" s="40" t="e">
        <f>SUMIF('CTH lapak'!#REF!,B67,'CTH lapak'!#REF!)</f>
        <v>#REF!</v>
      </c>
      <c r="G67" s="40" t="e">
        <f>SUMIF('CTH lapak'!#REF!,B67,'CTH lapak'!#REF!)</f>
        <v>#REF!</v>
      </c>
      <c r="H67" s="40" t="e">
        <f>SUMIF('CTH lapak'!#REF!,B67,'CTH lapak'!#REF!)</f>
        <v>#REF!</v>
      </c>
      <c r="I67" s="40" t="e">
        <f>SUMIF('CTH lapak'!#REF!,B67,'CTH lapak'!#REF!)</f>
        <v>#REF!</v>
      </c>
      <c r="J67" s="40" t="e">
        <f>SUMIF('CTH lapak'!#REF!,B67,'CTH lapak'!#REF!)</f>
        <v>#REF!</v>
      </c>
      <c r="K67" s="41" t="e">
        <f t="shared" si="16"/>
        <v>#REF!</v>
      </c>
    </row>
    <row r="68" spans="2:12" x14ac:dyDescent="0.25">
      <c r="B68" s="98">
        <v>5106</v>
      </c>
      <c r="C68" s="279" t="s">
        <v>435</v>
      </c>
      <c r="D68" s="341" t="e">
        <f t="shared" si="17"/>
        <v>#REF!</v>
      </c>
      <c r="E68" s="40" t="e">
        <f>SUMIF('CTH lapak'!#REF!,B68,'CTH lapak'!#REF!)</f>
        <v>#REF!</v>
      </c>
      <c r="F68" s="40" t="e">
        <f>SUMIF('CTH lapak'!#REF!,B68,'CTH lapak'!#REF!)</f>
        <v>#REF!</v>
      </c>
      <c r="G68" s="40" t="e">
        <f>SUMIF('CTH lapak'!#REF!,B68,'CTH lapak'!#REF!)</f>
        <v>#REF!</v>
      </c>
      <c r="H68" s="40" t="e">
        <f>SUMIF('CTH lapak'!#REF!,B68,'CTH lapak'!#REF!)</f>
        <v>#REF!</v>
      </c>
      <c r="I68" s="40" t="e">
        <f>SUMIF('CTH lapak'!#REF!,B68,'CTH lapak'!#REF!)</f>
        <v>#REF!</v>
      </c>
      <c r="J68" s="40" t="e">
        <f>SUMIF('CTH lapak'!#REF!,B68,'CTH lapak'!#REF!)</f>
        <v>#REF!</v>
      </c>
      <c r="K68" s="41" t="e">
        <f t="shared" si="16"/>
        <v>#REF!</v>
      </c>
    </row>
    <row r="69" spans="2:12" x14ac:dyDescent="0.25">
      <c r="B69" s="98">
        <v>5109</v>
      </c>
      <c r="C69" s="279" t="s">
        <v>434</v>
      </c>
      <c r="D69" s="341" t="e">
        <f t="shared" si="17"/>
        <v>#REF!</v>
      </c>
      <c r="E69" s="40" t="e">
        <f>SUMIF('CTH lapak'!#REF!,B69,'CTH lapak'!#REF!)</f>
        <v>#REF!</v>
      </c>
      <c r="F69" s="40" t="e">
        <f>SUMIF('CTH lapak'!#REF!,B69,'CTH lapak'!#REF!)</f>
        <v>#REF!</v>
      </c>
      <c r="G69" s="40" t="e">
        <f>SUMIF('CTH lapak'!#REF!,B69,'CTH lapak'!#REF!)</f>
        <v>#REF!</v>
      </c>
      <c r="H69" s="40" t="e">
        <f>SUMIF('CTH lapak'!#REF!,B69,'CTH lapak'!#REF!)</f>
        <v>#REF!</v>
      </c>
      <c r="I69" s="40" t="e">
        <f>SUMIF('CTH lapak'!#REF!,B69,'CTH lapak'!#REF!)</f>
        <v>#REF!</v>
      </c>
      <c r="J69" s="40" t="e">
        <f>SUMIF('CTH lapak'!#REF!,B69,'CTH lapak'!#REF!)</f>
        <v>#REF!</v>
      </c>
      <c r="K69" s="41" t="e">
        <f t="shared" si="16"/>
        <v>#REF!</v>
      </c>
    </row>
    <row r="70" spans="2:12" x14ac:dyDescent="0.25">
      <c r="B70" s="98"/>
      <c r="C70" s="98"/>
      <c r="D70" s="98"/>
      <c r="E70" s="98"/>
      <c r="F70" s="98"/>
      <c r="G70" s="98"/>
      <c r="H70" s="98"/>
      <c r="I70" s="98"/>
      <c r="J70" s="98"/>
      <c r="K70" s="56">
        <f t="shared" ref="K70" si="18">SUM(E70:G70)</f>
        <v>0</v>
      </c>
    </row>
    <row r="71" spans="2:12" s="367" customFormat="1" x14ac:dyDescent="0.25">
      <c r="B71" s="386">
        <v>5200</v>
      </c>
      <c r="C71" s="386" t="s">
        <v>438</v>
      </c>
      <c r="D71" s="387" t="e">
        <f>SUM(D72:D73)</f>
        <v>#REF!</v>
      </c>
      <c r="E71" s="387" t="e">
        <f>SUM(E72:E73)</f>
        <v>#REF!</v>
      </c>
      <c r="F71" s="387" t="e">
        <f t="shared" ref="F71:K71" si="19">SUM(F72:F73)</f>
        <v>#REF!</v>
      </c>
      <c r="G71" s="387" t="e">
        <f t="shared" si="19"/>
        <v>#REF!</v>
      </c>
      <c r="H71" s="387" t="e">
        <f t="shared" si="19"/>
        <v>#REF!</v>
      </c>
      <c r="I71" s="387" t="e">
        <f t="shared" si="19"/>
        <v>#REF!</v>
      </c>
      <c r="J71" s="387" t="e">
        <f t="shared" si="19"/>
        <v>#REF!</v>
      </c>
      <c r="K71" s="387" t="e">
        <f t="shared" si="19"/>
        <v>#REF!</v>
      </c>
    </row>
    <row r="72" spans="2:12" x14ac:dyDescent="0.25">
      <c r="B72" s="98">
        <v>5201</v>
      </c>
      <c r="C72" s="42" t="s">
        <v>473</v>
      </c>
      <c r="D72" s="341" t="e">
        <f>K32</f>
        <v>#REF!</v>
      </c>
      <c r="E72" s="40" t="e">
        <f>SUMIF('CTH lapak'!#REF!,B72,'CTH lapak'!#REF!)</f>
        <v>#REF!</v>
      </c>
      <c r="F72" s="40" t="e">
        <f>SUMIF('CTH lapak'!#REF!,B72,'CTH lapak'!#REF!)</f>
        <v>#REF!</v>
      </c>
      <c r="G72" s="40" t="e">
        <f>SUMIF('CTH lapak'!#REF!,B72,'CTH lapak'!#REF!)</f>
        <v>#REF!</v>
      </c>
      <c r="H72" s="40" t="e">
        <f>SUMIF('CTH lapak'!#REF!,B72,'CTH lapak'!#REF!)</f>
        <v>#REF!</v>
      </c>
      <c r="I72" s="40" t="e">
        <f>SUMIF('CTH lapak'!#REF!,B72,'CTH lapak'!#REF!)</f>
        <v>#REF!</v>
      </c>
      <c r="J72" s="40" t="e">
        <f>SUMIF('CTH lapak'!#REF!,B72,'CTH lapak'!#REF!)</f>
        <v>#REF!</v>
      </c>
      <c r="K72" s="41" t="e">
        <f>SUM(D72:J72)</f>
        <v>#REF!</v>
      </c>
    </row>
    <row r="73" spans="2:12" x14ac:dyDescent="0.25">
      <c r="B73" s="98">
        <v>5202</v>
      </c>
      <c r="C73" s="379" t="s">
        <v>474</v>
      </c>
      <c r="D73" s="278"/>
      <c r="E73" s="40" t="e">
        <f>SUMIF('CTH lapak'!#REF!,B73,'CTH lapak'!#REF!)</f>
        <v>#REF!</v>
      </c>
      <c r="F73" s="40" t="e">
        <f>SUMIF('CTH lapak'!#REF!,B73,'CTH lapak'!#REF!)</f>
        <v>#REF!</v>
      </c>
      <c r="G73" s="40" t="e">
        <f>SUMIF('CTH lapak'!#REF!,B73,'CTH lapak'!#REF!)</f>
        <v>#REF!</v>
      </c>
      <c r="H73" s="40" t="e">
        <f>SUMIF('CTH lapak'!#REF!,B73,'CTH lapak'!#REF!)</f>
        <v>#REF!</v>
      </c>
      <c r="I73" s="40" t="e">
        <f>SUMIF('CTH lapak'!#REF!,B73,'CTH lapak'!#REF!)</f>
        <v>#REF!</v>
      </c>
      <c r="J73" s="40" t="e">
        <f>SUMIF('CTH lapak'!#REF!,B73,'CTH lapak'!#REF!)</f>
        <v>#REF!</v>
      </c>
      <c r="K73" s="41" t="e">
        <f>SUM(D73:J73)</f>
        <v>#REF!</v>
      </c>
    </row>
    <row r="74" spans="2:12" x14ac:dyDescent="0.25">
      <c r="B74" s="98"/>
      <c r="C74" s="379"/>
      <c r="D74" s="278"/>
      <c r="E74" s="40"/>
      <c r="F74" s="40"/>
      <c r="G74" s="40"/>
      <c r="H74" s="40"/>
      <c r="I74" s="40"/>
      <c r="J74" s="40"/>
      <c r="K74" s="41"/>
    </row>
    <row r="75" spans="2:12" x14ac:dyDescent="0.25">
      <c r="B75" s="386">
        <v>3000</v>
      </c>
      <c r="C75" s="386" t="s">
        <v>469</v>
      </c>
      <c r="D75" s="394">
        <f>SUM(D76)</f>
        <v>0</v>
      </c>
      <c r="E75" s="394" t="e">
        <f t="shared" ref="E75:K75" si="20">SUM(E76)</f>
        <v>#REF!</v>
      </c>
      <c r="F75" s="394" t="e">
        <f t="shared" si="20"/>
        <v>#REF!</v>
      </c>
      <c r="G75" s="394" t="e">
        <f t="shared" si="20"/>
        <v>#REF!</v>
      </c>
      <c r="H75" s="394" t="e">
        <f t="shared" si="20"/>
        <v>#REF!</v>
      </c>
      <c r="I75" s="394" t="e">
        <f t="shared" si="20"/>
        <v>#REF!</v>
      </c>
      <c r="J75" s="394" t="e">
        <f t="shared" si="20"/>
        <v>#REF!</v>
      </c>
      <c r="K75" s="394" t="e">
        <f t="shared" si="20"/>
        <v>#REF!</v>
      </c>
      <c r="L75" s="342"/>
    </row>
    <row r="76" spans="2:12" x14ac:dyDescent="0.25">
      <c r="B76" s="98">
        <v>3001</v>
      </c>
      <c r="C76" s="42" t="s">
        <v>469</v>
      </c>
      <c r="D76" s="341">
        <f>K35</f>
        <v>0</v>
      </c>
      <c r="E76" s="40" t="e">
        <f>SUMIF('CTH lapak'!#REF!,B76,'CTH lapak'!#REF!)</f>
        <v>#REF!</v>
      </c>
      <c r="F76" s="40" t="e">
        <f>SUMIF('CTH lapak'!#REF!,B76,'CTH lapak'!#REF!)</f>
        <v>#REF!</v>
      </c>
      <c r="G76" s="40" t="e">
        <f>SUMIF('CTH lapak'!#REF!,B76,'CTH lapak'!#REF!)</f>
        <v>#REF!</v>
      </c>
      <c r="H76" s="40" t="e">
        <f>SUMIF('CTH lapak'!#REF!,B76,'CTH lapak'!#REF!)</f>
        <v>#REF!</v>
      </c>
      <c r="I76" s="40" t="e">
        <f>SUMIF('CTH lapak'!#REF!,B76,'CTH lapak'!#REF!)</f>
        <v>#REF!</v>
      </c>
      <c r="J76" s="40" t="e">
        <f>SUMIF('CTH lapak'!#REF!,B76,'CTH lapak'!#REF!)</f>
        <v>#REF!</v>
      </c>
      <c r="K76" s="313" t="e">
        <f>SUM(D76:J76)</f>
        <v>#REF!</v>
      </c>
      <c r="L76" s="342"/>
    </row>
    <row r="77" spans="2:12" x14ac:dyDescent="0.25">
      <c r="B77" s="98"/>
      <c r="C77" s="42"/>
      <c r="D77" s="42"/>
      <c r="E77" s="40">
        <f>SUMIF('cth gEDUNG'!$B$142:$B$158,B77,'cth gEDUNG'!$F$142:$F$158)</f>
        <v>0</v>
      </c>
      <c r="F77" s="40">
        <f>SUMIF('cth gEDUNG'!$B$165:$B$181,B77,'cth gEDUNG'!$F$165:$F$181)</f>
        <v>0</v>
      </c>
      <c r="G77" s="40">
        <f>SUMIF('cth gEDUNG'!$B$188:$B$202,B77,'cth gEDUNG'!$F$188:$F$202)</f>
        <v>0</v>
      </c>
      <c r="H77" s="40">
        <f>SUMIF('cth gEDUNG'!$B$209:$B$224,B77,'cth gEDUNG'!$F$209:$F$224)</f>
        <v>0</v>
      </c>
      <c r="I77" s="40">
        <f>SUMIF('cth gEDUNG'!$B$231:$B$249,B77,'cth gEDUNG'!$F$231:$F$249)</f>
        <v>0</v>
      </c>
      <c r="J77" s="40">
        <f>SUMIF('cth gEDUNG'!$B$256:$B$276,B77,'cth gEDUNG'!$F$256:$F$276)</f>
        <v>0</v>
      </c>
      <c r="K77" s="56">
        <f t="shared" ref="K77" si="21">SUM(E77:J77)</f>
        <v>0</v>
      </c>
    </row>
    <row r="78" spans="2:12" ht="15.75" thickBot="1" x14ac:dyDescent="0.3">
      <c r="B78" s="98"/>
      <c r="C78" s="42"/>
      <c r="D78" s="42"/>
      <c r="E78" s="40"/>
      <c r="F78" s="40"/>
      <c r="G78" s="40"/>
      <c r="H78" s="40"/>
      <c r="I78" s="40"/>
      <c r="J78" s="40"/>
      <c r="K78" s="36"/>
    </row>
    <row r="79" spans="2:12" x14ac:dyDescent="0.25">
      <c r="B79" s="334"/>
      <c r="C79" s="334" t="s">
        <v>5</v>
      </c>
      <c r="D79" s="335" t="e">
        <f>D75+D61+D71</f>
        <v>#REF!</v>
      </c>
      <c r="E79" s="335" t="e">
        <f>E75+E61+E71</f>
        <v>#REF!</v>
      </c>
      <c r="F79" s="335" t="e">
        <f t="shared" ref="F79:J79" si="22">F75+F61+F71</f>
        <v>#REF!</v>
      </c>
      <c r="G79" s="335" t="e">
        <f t="shared" si="22"/>
        <v>#REF!</v>
      </c>
      <c r="H79" s="335" t="e">
        <f t="shared" si="22"/>
        <v>#REF!</v>
      </c>
      <c r="I79" s="335" t="e">
        <f t="shared" si="22"/>
        <v>#REF!</v>
      </c>
      <c r="J79" s="335" t="e">
        <f t="shared" si="22"/>
        <v>#REF!</v>
      </c>
      <c r="K79" s="335" t="e">
        <f t="shared" ref="K79" si="23">K75+K61+K71</f>
        <v>#REF!</v>
      </c>
    </row>
    <row r="80" spans="2:12" x14ac:dyDescent="0.25">
      <c r="B80" s="336"/>
      <c r="C80" s="336" t="s">
        <v>100</v>
      </c>
      <c r="D80" s="337" t="e">
        <f>D59-D79</f>
        <v>#REF!</v>
      </c>
      <c r="E80" s="337" t="e">
        <f t="shared" ref="E80:K80" si="24">E59-E79</f>
        <v>#REF!</v>
      </c>
      <c r="F80" s="337" t="e">
        <f t="shared" si="24"/>
        <v>#REF!</v>
      </c>
      <c r="G80" s="337" t="e">
        <f t="shared" si="24"/>
        <v>#REF!</v>
      </c>
      <c r="H80" s="337" t="e">
        <f t="shared" si="24"/>
        <v>#REF!</v>
      </c>
      <c r="I80" s="337" t="e">
        <f t="shared" si="24"/>
        <v>#REF!</v>
      </c>
      <c r="J80" s="337" t="e">
        <f t="shared" si="24"/>
        <v>#REF!</v>
      </c>
      <c r="K80" s="337" t="e">
        <f t="shared" si="24"/>
        <v>#REF!</v>
      </c>
    </row>
    <row r="81" spans="2:12" s="333" customFormat="1" x14ac:dyDescent="0.25">
      <c r="B81" s="331"/>
      <c r="C81" s="331"/>
      <c r="D81" s="331"/>
      <c r="E81" s="332"/>
      <c r="F81" s="332"/>
      <c r="G81" s="332"/>
      <c r="H81" s="332"/>
      <c r="I81" s="332"/>
      <c r="J81" s="332"/>
      <c r="K81" s="332"/>
    </row>
    <row r="82" spans="2:12" s="333" customFormat="1" x14ac:dyDescent="0.25">
      <c r="B82" s="331"/>
      <c r="C82" s="331"/>
      <c r="D82" s="331"/>
      <c r="E82" s="332"/>
      <c r="F82" s="332"/>
      <c r="G82" s="332"/>
      <c r="H82" s="332"/>
      <c r="I82" s="332"/>
      <c r="J82" s="332"/>
      <c r="K82" s="332"/>
    </row>
    <row r="83" spans="2:12" s="333" customFormat="1" x14ac:dyDescent="0.25">
      <c r="B83" s="356"/>
      <c r="C83" s="357"/>
      <c r="D83" s="357"/>
      <c r="E83" s="358"/>
      <c r="F83" s="359"/>
      <c r="G83" s="332"/>
      <c r="H83" s="332"/>
      <c r="I83" s="332"/>
      <c r="J83" s="332"/>
      <c r="K83" s="332"/>
    </row>
    <row r="84" spans="2:12" x14ac:dyDescent="0.25">
      <c r="B84" s="285"/>
      <c r="C84" s="344" t="s">
        <v>446</v>
      </c>
      <c r="D84" s="286"/>
      <c r="E84" s="346" t="e">
        <f>K10</f>
        <v>#REF!</v>
      </c>
      <c r="F84" s="360"/>
      <c r="G84" s="286"/>
      <c r="H84" s="286"/>
      <c r="I84" s="286"/>
      <c r="J84" s="286"/>
      <c r="K84" s="354"/>
      <c r="L84" s="286"/>
    </row>
    <row r="85" spans="2:12" x14ac:dyDescent="0.25">
      <c r="B85" s="285"/>
      <c r="C85" s="344" t="s">
        <v>90</v>
      </c>
      <c r="D85" s="286"/>
      <c r="E85" s="346" t="e">
        <f>K52</f>
        <v>#REF!</v>
      </c>
      <c r="F85" s="360"/>
      <c r="G85" s="286"/>
      <c r="H85" s="286"/>
      <c r="I85" s="286"/>
      <c r="J85" s="286"/>
      <c r="K85" s="354"/>
      <c r="L85" s="286"/>
    </row>
    <row r="86" spans="2:12" x14ac:dyDescent="0.25">
      <c r="B86" s="285"/>
      <c r="C86" s="380" t="s">
        <v>459</v>
      </c>
      <c r="D86" s="286"/>
      <c r="E86" s="346" t="e">
        <f>K55</f>
        <v>#REF!</v>
      </c>
      <c r="F86" s="360"/>
      <c r="G86" s="286"/>
      <c r="H86" s="286"/>
      <c r="I86" s="286"/>
      <c r="J86" s="286"/>
      <c r="K86" s="354"/>
      <c r="L86" s="286"/>
    </row>
    <row r="87" spans="2:12" ht="15.75" thickBot="1" x14ac:dyDescent="0.3">
      <c r="B87" s="285"/>
      <c r="C87" s="347" t="s">
        <v>93</v>
      </c>
      <c r="D87" s="348"/>
      <c r="E87" s="349" t="e">
        <f>SUM(E84:E86)</f>
        <v>#REF!</v>
      </c>
      <c r="F87" s="360"/>
      <c r="G87" s="286"/>
      <c r="H87" s="286"/>
      <c r="I87" s="286"/>
      <c r="J87" s="286"/>
      <c r="K87" s="354"/>
      <c r="L87" s="286"/>
    </row>
    <row r="88" spans="2:12" ht="15.75" thickTop="1" x14ac:dyDescent="0.25">
      <c r="B88" s="285"/>
      <c r="C88" s="286"/>
      <c r="D88" s="286"/>
      <c r="E88" s="286"/>
      <c r="F88" s="360"/>
      <c r="G88" s="286"/>
      <c r="H88" s="286"/>
      <c r="I88" s="286"/>
      <c r="J88" s="286"/>
      <c r="K88" s="354"/>
      <c r="L88" s="286"/>
    </row>
    <row r="89" spans="2:12" x14ac:dyDescent="0.25">
      <c r="B89" s="285"/>
      <c r="C89" s="363" t="s">
        <v>448</v>
      </c>
      <c r="D89" s="286"/>
      <c r="E89" s="286"/>
      <c r="F89" s="360"/>
      <c r="G89" s="286"/>
      <c r="H89" s="286"/>
      <c r="I89" s="286"/>
      <c r="J89" s="286"/>
      <c r="K89" s="354"/>
      <c r="L89" s="286"/>
    </row>
    <row r="90" spans="2:12" x14ac:dyDescent="0.25">
      <c r="B90" s="285"/>
      <c r="C90" s="286"/>
      <c r="D90" s="286"/>
      <c r="E90" s="286"/>
      <c r="F90" s="360"/>
      <c r="G90" s="286"/>
      <c r="H90" s="286"/>
      <c r="I90" s="286"/>
      <c r="J90" s="286"/>
      <c r="K90" s="354"/>
      <c r="L90" s="286"/>
    </row>
    <row r="91" spans="2:12" x14ac:dyDescent="0.25">
      <c r="B91" s="285"/>
      <c r="C91" s="350" t="s">
        <v>449</v>
      </c>
      <c r="D91" s="286"/>
      <c r="E91" s="351" t="e">
        <f>K61</f>
        <v>#REF!</v>
      </c>
      <c r="F91" s="360"/>
      <c r="G91" s="286"/>
      <c r="H91" s="286"/>
      <c r="I91" s="286"/>
      <c r="J91" s="286"/>
      <c r="K91" s="354"/>
      <c r="L91" s="286"/>
    </row>
    <row r="92" spans="2:12" x14ac:dyDescent="0.25">
      <c r="B92" s="285"/>
      <c r="C92" s="380" t="s">
        <v>145</v>
      </c>
      <c r="D92" s="290"/>
      <c r="E92" s="345" t="e">
        <f>K71</f>
        <v>#REF!</v>
      </c>
      <c r="F92" s="361"/>
      <c r="G92" s="286"/>
      <c r="H92" s="286"/>
      <c r="I92" s="286"/>
      <c r="J92" s="286"/>
      <c r="K92" s="354"/>
      <c r="L92" s="286"/>
    </row>
    <row r="93" spans="2:12" x14ac:dyDescent="0.25">
      <c r="B93" s="285"/>
      <c r="C93" s="381" t="s">
        <v>459</v>
      </c>
      <c r="D93" s="286"/>
      <c r="E93" s="345" t="e">
        <f>K75</f>
        <v>#REF!</v>
      </c>
      <c r="F93" s="383"/>
      <c r="G93" s="286"/>
      <c r="H93" s="286"/>
      <c r="I93" s="286"/>
      <c r="J93" s="286"/>
      <c r="K93" s="354"/>
      <c r="L93" s="286"/>
    </row>
    <row r="94" spans="2:12" ht="15.75" thickBot="1" x14ac:dyDescent="0.3">
      <c r="B94" s="285"/>
      <c r="C94" s="347" t="s">
        <v>93</v>
      </c>
      <c r="D94" s="348"/>
      <c r="E94" s="352" t="e">
        <f>SUM(E91:E93)</f>
        <v>#REF!</v>
      </c>
      <c r="F94" s="360"/>
      <c r="G94" s="286"/>
      <c r="H94" s="286"/>
      <c r="I94" s="286"/>
      <c r="J94" s="286"/>
      <c r="K94" s="354"/>
      <c r="L94" s="286"/>
    </row>
    <row r="95" spans="2:12" ht="15.75" thickTop="1" x14ac:dyDescent="0.25">
      <c r="B95" s="285"/>
      <c r="C95" s="381"/>
      <c r="D95" s="286"/>
      <c r="E95" s="286"/>
      <c r="F95" s="360"/>
      <c r="G95" s="286"/>
      <c r="H95" s="286"/>
      <c r="I95" s="286"/>
      <c r="J95" s="286"/>
      <c r="K95" s="354"/>
      <c r="L95" s="286"/>
    </row>
    <row r="96" spans="2:12" ht="15.75" thickBot="1" x14ac:dyDescent="0.3">
      <c r="B96" s="285"/>
      <c r="C96" s="347" t="s">
        <v>452</v>
      </c>
      <c r="D96" s="348"/>
      <c r="E96" s="353" t="e">
        <f>E87-E94</f>
        <v>#REF!</v>
      </c>
      <c r="F96" s="360"/>
      <c r="G96" s="286"/>
      <c r="H96" s="286"/>
      <c r="I96" s="286"/>
      <c r="J96" s="286"/>
      <c r="K96" s="354"/>
      <c r="L96" s="286"/>
    </row>
    <row r="97" spans="2:12" ht="15.75" thickTop="1" x14ac:dyDescent="0.25">
      <c r="B97" s="285"/>
      <c r="C97" s="286"/>
      <c r="D97" s="286"/>
      <c r="E97" s="286"/>
      <c r="F97" s="360"/>
      <c r="G97" s="286"/>
      <c r="H97" s="286"/>
      <c r="I97" s="286"/>
      <c r="J97" s="286"/>
      <c r="K97" s="354"/>
      <c r="L97" s="286"/>
    </row>
    <row r="98" spans="2:12" x14ac:dyDescent="0.25">
      <c r="B98" s="285"/>
      <c r="C98" s="381" t="s">
        <v>475</v>
      </c>
      <c r="D98" s="286"/>
      <c r="E98" s="317" t="e">
        <f>'CTH lapak'!#REF!</f>
        <v>#REF!</v>
      </c>
      <c r="F98" s="360"/>
      <c r="G98" s="286"/>
      <c r="H98" s="286"/>
      <c r="I98" s="286"/>
      <c r="J98" s="286"/>
      <c r="K98" s="354"/>
      <c r="L98" s="286"/>
    </row>
    <row r="99" spans="2:12" x14ac:dyDescent="0.25">
      <c r="B99" s="285"/>
      <c r="C99" s="350" t="s">
        <v>476</v>
      </c>
      <c r="D99" s="286"/>
      <c r="E99" s="317" t="e">
        <f>'CTH lapak'!#REF!</f>
        <v>#REF!</v>
      </c>
      <c r="F99" s="360"/>
      <c r="G99" s="286"/>
      <c r="H99" s="286"/>
      <c r="I99" s="286"/>
      <c r="J99" s="286"/>
      <c r="K99" s="354"/>
      <c r="L99" s="286"/>
    </row>
    <row r="100" spans="2:12" ht="15.75" thickBot="1" x14ac:dyDescent="0.3">
      <c r="B100" s="285"/>
      <c r="C100" s="382" t="s">
        <v>459</v>
      </c>
      <c r="D100" s="286"/>
      <c r="E100" s="431" t="e">
        <f>'CTH lapak'!#REF!</f>
        <v>#REF!</v>
      </c>
      <c r="F100" s="360"/>
      <c r="G100" s="286"/>
      <c r="H100" s="286"/>
      <c r="I100" s="286"/>
      <c r="J100" s="286"/>
      <c r="K100" s="354"/>
      <c r="L100" s="286"/>
    </row>
    <row r="101" spans="2:12" ht="15.75" thickTop="1" x14ac:dyDescent="0.25">
      <c r="B101" s="285"/>
      <c r="C101" s="382"/>
      <c r="D101" s="286"/>
      <c r="E101" s="377" t="e">
        <f>SUM(E98:E100)</f>
        <v>#REF!</v>
      </c>
      <c r="F101" s="383"/>
      <c r="G101" s="286"/>
      <c r="H101" s="286"/>
      <c r="I101" s="286"/>
      <c r="J101" s="286"/>
      <c r="K101" s="354"/>
      <c r="L101" s="286"/>
    </row>
    <row r="102" spans="2:12" x14ac:dyDescent="0.25">
      <c r="B102" s="285"/>
      <c r="C102" s="382"/>
      <c r="D102" s="286"/>
      <c r="E102" s="286"/>
      <c r="F102" s="360"/>
      <c r="G102" s="286"/>
      <c r="H102" s="286"/>
      <c r="I102" s="286"/>
      <c r="J102" s="286"/>
      <c r="K102" s="354"/>
      <c r="L102" s="286"/>
    </row>
    <row r="103" spans="2:12" x14ac:dyDescent="0.25">
      <c r="B103" s="285"/>
      <c r="C103" s="347" t="s">
        <v>127</v>
      </c>
      <c r="D103" s="344" t="s">
        <v>453</v>
      </c>
      <c r="E103" s="286"/>
      <c r="F103" s="360"/>
      <c r="G103" s="286"/>
      <c r="H103" s="286">
        <v>4893269</v>
      </c>
      <c r="I103" s="286"/>
      <c r="J103" s="286"/>
      <c r="K103" s="354"/>
      <c r="L103" s="286"/>
    </row>
    <row r="104" spans="2:12" x14ac:dyDescent="0.25">
      <c r="B104" s="285"/>
      <c r="C104" s="350" t="s">
        <v>455</v>
      </c>
      <c r="D104" s="344" t="s">
        <v>454</v>
      </c>
      <c r="E104" s="286"/>
      <c r="F104" s="360"/>
      <c r="G104" s="286"/>
      <c r="H104" s="90">
        <v>199727</v>
      </c>
      <c r="I104" s="286"/>
      <c r="J104" s="286"/>
      <c r="K104" s="354"/>
      <c r="L104" s="286"/>
    </row>
    <row r="105" spans="2:12" x14ac:dyDescent="0.25">
      <c r="B105" s="285"/>
      <c r="C105" s="286"/>
      <c r="D105" s="286"/>
      <c r="E105" s="286"/>
      <c r="F105" s="360"/>
      <c r="G105" s="286"/>
      <c r="H105" s="286"/>
      <c r="I105" s="286"/>
      <c r="J105" s="286"/>
      <c r="K105" s="354"/>
      <c r="L105" s="286"/>
    </row>
    <row r="106" spans="2:12" x14ac:dyDescent="0.25">
      <c r="B106" s="285"/>
      <c r="C106" s="290"/>
      <c r="D106" s="290"/>
      <c r="E106" s="290"/>
      <c r="F106" s="360"/>
      <c r="G106" s="286"/>
      <c r="H106" s="286"/>
      <c r="I106" s="286"/>
      <c r="J106" s="286"/>
      <c r="K106" s="354"/>
      <c r="L106" s="286"/>
    </row>
    <row r="107" spans="2:12" s="286" customFormat="1" x14ac:dyDescent="0.25">
      <c r="B107" s="285"/>
      <c r="F107" s="360"/>
      <c r="K107" s="354"/>
    </row>
    <row r="108" spans="2:12" s="286" customFormat="1" x14ac:dyDescent="0.25">
      <c r="B108" s="291"/>
      <c r="C108" s="364" t="s">
        <v>457</v>
      </c>
      <c r="D108" s="364" t="s">
        <v>456</v>
      </c>
      <c r="E108" s="292"/>
      <c r="F108" s="362"/>
      <c r="K108" s="354"/>
    </row>
  </sheetData>
  <mergeCells count="8">
    <mergeCell ref="B7:B8"/>
    <mergeCell ref="C7:C8"/>
    <mergeCell ref="E7:J7"/>
    <mergeCell ref="K7:K8"/>
    <mergeCell ref="B47:B48"/>
    <mergeCell ref="C47:C48"/>
    <mergeCell ref="E47:J47"/>
    <mergeCell ref="K47:K48"/>
  </mergeCells>
  <pageMargins left="0.7" right="0.7" top="0.75" bottom="0.75" header="0.3" footer="0.3"/>
  <pageSetup paperSize="9" scale="71" orientation="landscape" r:id="rId1"/>
  <rowBreaks count="2" manualBreakCount="2">
    <brk id="40" min="1" max="10" man="1"/>
    <brk id="81" min="1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view="pageBreakPreview" topLeftCell="A15" zoomScale="93" zoomScaleNormal="100" zoomScaleSheetLayoutView="93" workbookViewId="0">
      <selection activeCell="F38" sqref="F38"/>
    </sheetView>
  </sheetViews>
  <sheetFormatPr defaultRowHeight="15" x14ac:dyDescent="0.25"/>
  <cols>
    <col min="1" max="1" width="7" customWidth="1"/>
    <col min="2" max="2" width="11" customWidth="1"/>
    <col min="3" max="3" width="25.42578125" customWidth="1"/>
    <col min="4" max="4" width="7.85546875" customWidth="1"/>
    <col min="5" max="6" width="15.85546875" customWidth="1"/>
    <col min="7" max="7" width="15.85546875" style="251" customWidth="1"/>
    <col min="8" max="8" width="15.7109375" style="251" customWidth="1"/>
    <col min="9" max="9" width="15.85546875" style="251" customWidth="1"/>
    <col min="10" max="10" width="5.85546875" customWidth="1"/>
    <col min="11" max="14" width="15.85546875" customWidth="1"/>
    <col min="15" max="15" width="14.28515625" bestFit="1" customWidth="1"/>
  </cols>
  <sheetData>
    <row r="1" spans="1:15" x14ac:dyDescent="0.25">
      <c r="A1" s="367" t="s">
        <v>550</v>
      </c>
    </row>
    <row r="3" spans="1:15" x14ac:dyDescent="0.25">
      <c r="D3">
        <f>SUM(D5:D15)</f>
        <v>18</v>
      </c>
      <c r="F3" t="s">
        <v>703</v>
      </c>
      <c r="G3" s="251">
        <f>SUM(G5:G15)</f>
        <v>26550000</v>
      </c>
      <c r="J3" s="342">
        <f>E5/12</f>
        <v>166666.66666666666</v>
      </c>
    </row>
    <row r="4" spans="1:15" s="524" customFormat="1" ht="36.75" customHeight="1" x14ac:dyDescent="0.25">
      <c r="A4" s="523" t="s">
        <v>8</v>
      </c>
      <c r="B4" s="523" t="s">
        <v>551</v>
      </c>
      <c r="C4" s="523" t="s">
        <v>10</v>
      </c>
      <c r="D4" s="525" t="s">
        <v>676</v>
      </c>
      <c r="E4" s="526" t="s">
        <v>589</v>
      </c>
      <c r="F4" s="523" t="s">
        <v>552</v>
      </c>
      <c r="G4" s="527" t="s">
        <v>700</v>
      </c>
      <c r="H4" s="527" t="s">
        <v>701</v>
      </c>
      <c r="I4" s="527" t="s">
        <v>13</v>
      </c>
      <c r="J4" s="523" t="s">
        <v>651</v>
      </c>
      <c r="K4" s="523">
        <v>2022</v>
      </c>
      <c r="L4" s="523">
        <v>2023</v>
      </c>
      <c r="M4" s="523">
        <v>2024</v>
      </c>
      <c r="N4" s="523" t="s">
        <v>553</v>
      </c>
    </row>
    <row r="5" spans="1:15" x14ac:dyDescent="0.25">
      <c r="A5" s="498" t="s">
        <v>616</v>
      </c>
      <c r="B5" s="467" t="s">
        <v>555</v>
      </c>
      <c r="C5" s="466" t="s">
        <v>554</v>
      </c>
      <c r="D5" s="508">
        <v>3</v>
      </c>
      <c r="E5" s="497">
        <v>2000000</v>
      </c>
      <c r="F5" s="497">
        <f>D5*E5</f>
        <v>6000000</v>
      </c>
      <c r="G5" s="497">
        <v>4800000</v>
      </c>
      <c r="H5" s="497">
        <f>SUMIF('CTH lapak'!$M$8:$M$25,A5,'CTH lapak'!$O$8:$O$25)</f>
        <v>0</v>
      </c>
      <c r="I5" s="497">
        <f>F5-(G5+H5)</f>
        <v>1200000</v>
      </c>
      <c r="J5" s="424"/>
      <c r="K5" s="518">
        <v>0</v>
      </c>
      <c r="L5" s="518">
        <f>J5*$J$3</f>
        <v>0</v>
      </c>
      <c r="M5" s="518"/>
      <c r="N5" s="519">
        <f>F5-K5-L5-M5</f>
        <v>6000000</v>
      </c>
    </row>
    <row r="6" spans="1:15" x14ac:dyDescent="0.25">
      <c r="A6" s="498" t="s">
        <v>617</v>
      </c>
      <c r="B6" s="467" t="s">
        <v>557</v>
      </c>
      <c r="C6" s="466" t="s">
        <v>556</v>
      </c>
      <c r="D6" s="508">
        <v>2</v>
      </c>
      <c r="E6" s="497">
        <v>2000000</v>
      </c>
      <c r="F6" s="497">
        <f t="shared" ref="F6:F34" si="0">D6*E6</f>
        <v>4000000</v>
      </c>
      <c r="G6" s="497">
        <v>4000000</v>
      </c>
      <c r="H6" s="497">
        <f>SUMIF('CTH lapak'!$M$8:$M$25,A6,'CTH lapak'!$O$8:$O$25)</f>
        <v>0</v>
      </c>
      <c r="I6" s="497">
        <f t="shared" ref="I6:I34" si="1">F6-(G6+H6)</f>
        <v>0</v>
      </c>
      <c r="J6" s="424">
        <v>0</v>
      </c>
      <c r="K6" s="518">
        <v>0</v>
      </c>
      <c r="L6" s="518">
        <f t="shared" ref="L6:L34" si="2">J6*$J$3</f>
        <v>0</v>
      </c>
      <c r="M6" s="518"/>
      <c r="N6" s="519">
        <f t="shared" ref="N6:N34" si="3">F6-K6-L6-M6</f>
        <v>4000000</v>
      </c>
    </row>
    <row r="7" spans="1:15" x14ac:dyDescent="0.25">
      <c r="A7" s="498" t="s">
        <v>618</v>
      </c>
      <c r="B7" s="468" t="s">
        <v>559</v>
      </c>
      <c r="C7" s="466" t="s">
        <v>558</v>
      </c>
      <c r="D7" s="508">
        <v>2</v>
      </c>
      <c r="E7" s="497">
        <v>2000000</v>
      </c>
      <c r="F7" s="497">
        <f t="shared" si="0"/>
        <v>4000000</v>
      </c>
      <c r="G7" s="497">
        <v>2000000</v>
      </c>
      <c r="H7" s="497">
        <f>SUMIF('CTH lapak'!$M$8:$M$25,A7,'CTH lapak'!$O$8:$O$25)</f>
        <v>0</v>
      </c>
      <c r="I7" s="497">
        <f t="shared" si="1"/>
        <v>2000000</v>
      </c>
      <c r="J7" s="424"/>
      <c r="K7" s="518">
        <v>0</v>
      </c>
      <c r="L7" s="518">
        <f t="shared" si="2"/>
        <v>0</v>
      </c>
      <c r="M7" s="518"/>
      <c r="N7" s="519">
        <f t="shared" si="3"/>
        <v>4000000</v>
      </c>
    </row>
    <row r="8" spans="1:15" x14ac:dyDescent="0.25">
      <c r="A8" s="498" t="s">
        <v>619</v>
      </c>
      <c r="B8" s="469">
        <v>33</v>
      </c>
      <c r="C8" s="466" t="s">
        <v>560</v>
      </c>
      <c r="D8" s="508">
        <v>1</v>
      </c>
      <c r="E8" s="497">
        <v>2000000</v>
      </c>
      <c r="F8" s="497">
        <f t="shared" si="0"/>
        <v>2000000</v>
      </c>
      <c r="G8" s="497">
        <v>2000000</v>
      </c>
      <c r="H8" s="497">
        <f>SUMIF('CTH lapak'!$M$8:$M$25,A8,'CTH lapak'!$O$8:$O$25)</f>
        <v>0</v>
      </c>
      <c r="I8" s="497">
        <f t="shared" si="1"/>
        <v>0</v>
      </c>
      <c r="J8" s="424"/>
      <c r="K8" s="518">
        <v>0</v>
      </c>
      <c r="L8" s="518">
        <f t="shared" si="2"/>
        <v>0</v>
      </c>
      <c r="M8" s="518"/>
      <c r="N8" s="519">
        <f t="shared" si="3"/>
        <v>2000000</v>
      </c>
    </row>
    <row r="9" spans="1:15" x14ac:dyDescent="0.25">
      <c r="A9" s="498" t="s">
        <v>620</v>
      </c>
      <c r="B9" s="470">
        <v>34</v>
      </c>
      <c r="C9" s="466" t="s">
        <v>561</v>
      </c>
      <c r="D9" s="508">
        <v>1</v>
      </c>
      <c r="E9" s="497">
        <v>2000000</v>
      </c>
      <c r="F9" s="497">
        <f t="shared" si="0"/>
        <v>2000000</v>
      </c>
      <c r="G9" s="497">
        <v>1250000</v>
      </c>
      <c r="H9" s="497">
        <f>SUMIF('CTH lapak'!$M$8:$M$25,A9,'CTH lapak'!$O$8:$O$25)</f>
        <v>0</v>
      </c>
      <c r="I9" s="497">
        <f t="shared" si="1"/>
        <v>750000</v>
      </c>
      <c r="J9" s="424"/>
      <c r="K9" s="518">
        <v>0</v>
      </c>
      <c r="L9" s="518">
        <f t="shared" si="2"/>
        <v>0</v>
      </c>
      <c r="M9" s="518"/>
      <c r="N9" s="519">
        <f t="shared" si="3"/>
        <v>2000000</v>
      </c>
    </row>
    <row r="10" spans="1:15" x14ac:dyDescent="0.25">
      <c r="A10" s="498" t="s">
        <v>621</v>
      </c>
      <c r="B10" s="471" t="s">
        <v>563</v>
      </c>
      <c r="C10" s="466" t="s">
        <v>562</v>
      </c>
      <c r="D10" s="508">
        <v>2</v>
      </c>
      <c r="E10" s="497">
        <v>2000000</v>
      </c>
      <c r="F10" s="497">
        <f t="shared" si="0"/>
        <v>4000000</v>
      </c>
      <c r="G10" s="497">
        <v>3000000</v>
      </c>
      <c r="H10" s="497">
        <f>SUMIF('CTH lapak'!$M$8:$M$25,A10,'CTH lapak'!$O$8:$O$25)</f>
        <v>0</v>
      </c>
      <c r="I10" s="497">
        <f t="shared" si="1"/>
        <v>1000000</v>
      </c>
      <c r="J10" s="424"/>
      <c r="K10" s="518">
        <v>0</v>
      </c>
      <c r="L10" s="518">
        <f t="shared" si="2"/>
        <v>0</v>
      </c>
      <c r="M10" s="518"/>
      <c r="N10" s="519">
        <f t="shared" si="3"/>
        <v>4000000</v>
      </c>
    </row>
    <row r="11" spans="1:15" x14ac:dyDescent="0.25">
      <c r="A11" s="498" t="s">
        <v>622</v>
      </c>
      <c r="B11" s="472" t="s">
        <v>565</v>
      </c>
      <c r="C11" s="466" t="s">
        <v>564</v>
      </c>
      <c r="D11" s="508">
        <v>1</v>
      </c>
      <c r="E11" s="497">
        <v>2000000</v>
      </c>
      <c r="F11" s="497">
        <f t="shared" si="0"/>
        <v>2000000</v>
      </c>
      <c r="G11" s="497">
        <v>2000000</v>
      </c>
      <c r="H11" s="497">
        <f>SUMIF('CTH lapak'!$M$8:$M$25,A11,'CTH lapak'!$O$8:$O$25)</f>
        <v>0</v>
      </c>
      <c r="I11" s="497">
        <f t="shared" si="1"/>
        <v>0</v>
      </c>
      <c r="J11" s="424"/>
      <c r="K11" s="518">
        <v>0</v>
      </c>
      <c r="L11" s="518">
        <f t="shared" si="2"/>
        <v>0</v>
      </c>
      <c r="M11" s="518"/>
      <c r="N11" s="519">
        <f t="shared" si="3"/>
        <v>2000000</v>
      </c>
    </row>
    <row r="12" spans="1:15" x14ac:dyDescent="0.25">
      <c r="A12" s="498" t="s">
        <v>623</v>
      </c>
      <c r="B12" s="467" t="s">
        <v>566</v>
      </c>
      <c r="C12" s="558" t="s">
        <v>704</v>
      </c>
      <c r="D12" s="508">
        <v>2</v>
      </c>
      <c r="E12" s="497">
        <v>2000000</v>
      </c>
      <c r="F12" s="497">
        <f>D12*E12*2</f>
        <v>8000000</v>
      </c>
      <c r="G12" s="497">
        <v>3000000</v>
      </c>
      <c r="H12" s="497">
        <f>SUMIF('CTH lapak'!$M$8:$M$25,A12,'CTH lapak'!$O$8:$O$25)</f>
        <v>0</v>
      </c>
      <c r="I12" s="497">
        <f>F12-(G12+H12)</f>
        <v>5000000</v>
      </c>
      <c r="J12" s="424">
        <v>24</v>
      </c>
      <c r="K12" s="518">
        <v>4000000</v>
      </c>
      <c r="L12" s="518">
        <f t="shared" si="2"/>
        <v>4000000</v>
      </c>
      <c r="M12" s="518"/>
      <c r="N12" s="519">
        <f>F12-K12-L12-M12</f>
        <v>0</v>
      </c>
    </row>
    <row r="13" spans="1:15" x14ac:dyDescent="0.25">
      <c r="A13" s="498" t="s">
        <v>624</v>
      </c>
      <c r="B13" s="473" t="s">
        <v>568</v>
      </c>
      <c r="C13" s="466" t="s">
        <v>567</v>
      </c>
      <c r="D13" s="508">
        <v>1</v>
      </c>
      <c r="E13" s="497">
        <v>2000000</v>
      </c>
      <c r="F13" s="497">
        <f t="shared" si="0"/>
        <v>2000000</v>
      </c>
      <c r="G13" s="497">
        <v>1500000</v>
      </c>
      <c r="H13" s="497">
        <f>SUMIF('CTH lapak'!$M$8:$M$25,A13,'CTH lapak'!$O$8:$O$25)</f>
        <v>0</v>
      </c>
      <c r="I13" s="497">
        <f t="shared" si="1"/>
        <v>500000</v>
      </c>
      <c r="J13" s="424"/>
      <c r="K13" s="518">
        <v>0</v>
      </c>
      <c r="L13" s="518">
        <f t="shared" si="2"/>
        <v>0</v>
      </c>
      <c r="M13" s="518"/>
      <c r="N13" s="519">
        <f t="shared" si="3"/>
        <v>2000000</v>
      </c>
    </row>
    <row r="14" spans="1:15" x14ac:dyDescent="0.25">
      <c r="A14" s="498" t="s">
        <v>625</v>
      </c>
      <c r="B14" s="474" t="s">
        <v>570</v>
      </c>
      <c r="C14" s="466" t="s">
        <v>569</v>
      </c>
      <c r="D14" s="508">
        <v>2</v>
      </c>
      <c r="E14" s="497">
        <v>2000000</v>
      </c>
      <c r="F14" s="497">
        <f t="shared" si="0"/>
        <v>4000000</v>
      </c>
      <c r="G14" s="497">
        <v>2000000</v>
      </c>
      <c r="H14" s="497">
        <f>SUMIF('CTH lapak'!$M$8:$M$25,A14,'CTH lapak'!$O$8:$O$25)</f>
        <v>0</v>
      </c>
      <c r="I14" s="497">
        <f>F14-(G14+H14)</f>
        <v>2000000</v>
      </c>
      <c r="J14" s="424">
        <v>12</v>
      </c>
      <c r="K14" s="518">
        <v>2000000</v>
      </c>
      <c r="L14" s="518">
        <f t="shared" si="2"/>
        <v>2000000</v>
      </c>
      <c r="M14" s="518"/>
      <c r="N14" s="519">
        <f t="shared" si="3"/>
        <v>0</v>
      </c>
    </row>
    <row r="15" spans="1:15" x14ac:dyDescent="0.25">
      <c r="A15" s="498" t="s">
        <v>626</v>
      </c>
      <c r="B15" s="476" t="s">
        <v>572</v>
      </c>
      <c r="C15" s="475" t="s">
        <v>571</v>
      </c>
      <c r="D15" s="509">
        <v>1</v>
      </c>
      <c r="E15" s="497">
        <v>2000000</v>
      </c>
      <c r="F15" s="497">
        <f t="shared" si="0"/>
        <v>2000000</v>
      </c>
      <c r="G15" s="497">
        <v>1000000</v>
      </c>
      <c r="H15" s="497">
        <f>SUMIF('CTH lapak'!$M$8:$M$25,A15,'CTH lapak'!$O$8:$O$25)</f>
        <v>0</v>
      </c>
      <c r="I15" s="497">
        <f t="shared" si="1"/>
        <v>1000000</v>
      </c>
      <c r="J15" s="424"/>
      <c r="K15" s="518">
        <v>0</v>
      </c>
      <c r="L15" s="518">
        <f t="shared" si="2"/>
        <v>0</v>
      </c>
      <c r="M15" s="518"/>
      <c r="N15" s="519">
        <f t="shared" si="3"/>
        <v>2000000</v>
      </c>
    </row>
    <row r="16" spans="1:15" x14ac:dyDescent="0.25">
      <c r="A16" s="498" t="s">
        <v>627</v>
      </c>
      <c r="B16" s="477" t="s">
        <v>574</v>
      </c>
      <c r="C16" s="466" t="s">
        <v>573</v>
      </c>
      <c r="D16" s="508">
        <v>3</v>
      </c>
      <c r="E16" s="497"/>
      <c r="F16" s="497">
        <f t="shared" si="0"/>
        <v>0</v>
      </c>
      <c r="G16" s="497"/>
      <c r="H16" s="497">
        <f>SUMIF('CTH lapak'!$M$8:$M$25,A16,'CTH lapak'!$O$8:$O$25)</f>
        <v>0</v>
      </c>
      <c r="I16" s="497">
        <f t="shared" si="1"/>
        <v>0</v>
      </c>
      <c r="J16" s="423"/>
      <c r="K16" s="518">
        <v>0</v>
      </c>
      <c r="L16" s="518">
        <f t="shared" si="2"/>
        <v>0</v>
      </c>
      <c r="M16" s="518"/>
      <c r="N16" s="519">
        <f t="shared" si="3"/>
        <v>0</v>
      </c>
      <c r="O16" s="342"/>
    </row>
    <row r="17" spans="1:14" x14ac:dyDescent="0.25">
      <c r="A17" s="498" t="s">
        <v>628</v>
      </c>
      <c r="B17" s="476">
        <v>7</v>
      </c>
      <c r="C17" s="466" t="s">
        <v>575</v>
      </c>
      <c r="D17" s="508">
        <v>1</v>
      </c>
      <c r="E17" s="497"/>
      <c r="F17" s="497">
        <f t="shared" si="0"/>
        <v>0</v>
      </c>
      <c r="G17" s="497"/>
      <c r="H17" s="497"/>
      <c r="I17" s="497">
        <f t="shared" si="1"/>
        <v>0</v>
      </c>
      <c r="J17" s="423"/>
      <c r="K17" s="518">
        <v>0</v>
      </c>
      <c r="L17" s="518">
        <f t="shared" si="2"/>
        <v>0</v>
      </c>
      <c r="M17" s="518"/>
      <c r="N17" s="519">
        <f t="shared" si="3"/>
        <v>0</v>
      </c>
    </row>
    <row r="18" spans="1:14" x14ac:dyDescent="0.25">
      <c r="A18" s="498" t="s">
        <v>629</v>
      </c>
      <c r="B18" s="476">
        <v>8</v>
      </c>
      <c r="C18" s="466" t="s">
        <v>576</v>
      </c>
      <c r="D18" s="508">
        <v>1</v>
      </c>
      <c r="E18" s="497"/>
      <c r="F18" s="497">
        <f t="shared" si="0"/>
        <v>0</v>
      </c>
      <c r="G18" s="497"/>
      <c r="H18" s="497"/>
      <c r="I18" s="497">
        <f t="shared" si="1"/>
        <v>0</v>
      </c>
      <c r="J18" s="423"/>
      <c r="K18" s="518">
        <v>0</v>
      </c>
      <c r="L18" s="518">
        <f t="shared" si="2"/>
        <v>0</v>
      </c>
      <c r="M18" s="518"/>
      <c r="N18" s="519">
        <f t="shared" si="3"/>
        <v>0</v>
      </c>
    </row>
    <row r="19" spans="1:14" x14ac:dyDescent="0.25">
      <c r="A19" s="498" t="s">
        <v>630</v>
      </c>
      <c r="B19" s="479" t="s">
        <v>578</v>
      </c>
      <c r="C19" s="478" t="s">
        <v>577</v>
      </c>
      <c r="D19" s="510">
        <v>1</v>
      </c>
      <c r="E19" s="497"/>
      <c r="F19" s="497">
        <f t="shared" si="0"/>
        <v>0</v>
      </c>
      <c r="G19" s="497"/>
      <c r="H19" s="497"/>
      <c r="I19" s="497">
        <f t="shared" si="1"/>
        <v>0</v>
      </c>
      <c r="J19" s="423"/>
      <c r="K19" s="518">
        <v>0</v>
      </c>
      <c r="L19" s="518">
        <f t="shared" si="2"/>
        <v>0</v>
      </c>
      <c r="M19" s="518"/>
      <c r="N19" s="519">
        <f t="shared" si="3"/>
        <v>0</v>
      </c>
    </row>
    <row r="20" spans="1:14" x14ac:dyDescent="0.25">
      <c r="A20" s="498" t="s">
        <v>631</v>
      </c>
      <c r="B20" s="480">
        <v>14</v>
      </c>
      <c r="C20" s="466" t="s">
        <v>579</v>
      </c>
      <c r="D20" s="508">
        <v>1</v>
      </c>
      <c r="E20" s="497"/>
      <c r="F20" s="497">
        <f t="shared" si="0"/>
        <v>0</v>
      </c>
      <c r="G20" s="497"/>
      <c r="H20" s="497"/>
      <c r="I20" s="497">
        <f t="shared" si="1"/>
        <v>0</v>
      </c>
      <c r="J20" s="423"/>
      <c r="K20" s="518">
        <v>0</v>
      </c>
      <c r="L20" s="518">
        <f t="shared" si="2"/>
        <v>0</v>
      </c>
      <c r="M20" s="518"/>
      <c r="N20" s="519">
        <f t="shared" si="3"/>
        <v>0</v>
      </c>
    </row>
    <row r="21" spans="1:14" x14ac:dyDescent="0.25">
      <c r="A21" s="498" t="s">
        <v>632</v>
      </c>
      <c r="B21" s="482">
        <v>19</v>
      </c>
      <c r="C21" s="481" t="s">
        <v>580</v>
      </c>
      <c r="D21" s="511">
        <v>1</v>
      </c>
      <c r="E21" s="497"/>
      <c r="F21" s="497">
        <f t="shared" si="0"/>
        <v>0</v>
      </c>
      <c r="G21" s="497"/>
      <c r="H21" s="497"/>
      <c r="I21" s="497">
        <f t="shared" si="1"/>
        <v>0</v>
      </c>
      <c r="J21" s="423"/>
      <c r="K21" s="518">
        <v>0</v>
      </c>
      <c r="L21" s="518">
        <f t="shared" si="2"/>
        <v>0</v>
      </c>
      <c r="M21" s="518"/>
      <c r="N21" s="519">
        <f t="shared" si="3"/>
        <v>0</v>
      </c>
    </row>
    <row r="22" spans="1:14" x14ac:dyDescent="0.25">
      <c r="A22" s="498" t="s">
        <v>633</v>
      </c>
      <c r="B22" s="482" t="s">
        <v>582</v>
      </c>
      <c r="C22" s="481" t="s">
        <v>581</v>
      </c>
      <c r="D22" s="511">
        <v>1</v>
      </c>
      <c r="E22" s="497"/>
      <c r="F22" s="497">
        <f t="shared" si="0"/>
        <v>0</v>
      </c>
      <c r="G22" s="497"/>
      <c r="H22" s="497"/>
      <c r="I22" s="497">
        <f t="shared" si="1"/>
        <v>0</v>
      </c>
      <c r="J22" s="423"/>
      <c r="K22" s="518">
        <v>0</v>
      </c>
      <c r="L22" s="518">
        <f t="shared" si="2"/>
        <v>0</v>
      </c>
      <c r="M22" s="518"/>
      <c r="N22" s="519">
        <f t="shared" si="3"/>
        <v>0</v>
      </c>
    </row>
    <row r="23" spans="1:14" x14ac:dyDescent="0.25">
      <c r="A23" s="498" t="s">
        <v>634</v>
      </c>
      <c r="B23" s="483" t="s">
        <v>584</v>
      </c>
      <c r="C23" s="466" t="s">
        <v>583</v>
      </c>
      <c r="D23" s="508">
        <v>4</v>
      </c>
      <c r="E23" s="497"/>
      <c r="F23" s="497">
        <f t="shared" si="0"/>
        <v>0</v>
      </c>
      <c r="G23" s="497"/>
      <c r="H23" s="497"/>
      <c r="I23" s="497">
        <f t="shared" si="1"/>
        <v>0</v>
      </c>
      <c r="J23" s="423"/>
      <c r="K23" s="518">
        <v>0</v>
      </c>
      <c r="L23" s="518">
        <f t="shared" si="2"/>
        <v>0</v>
      </c>
      <c r="M23" s="518"/>
      <c r="N23" s="519">
        <f t="shared" si="3"/>
        <v>0</v>
      </c>
    </row>
    <row r="24" spans="1:14" x14ac:dyDescent="0.25">
      <c r="A24" s="498" t="s">
        <v>635</v>
      </c>
      <c r="B24" s="483" t="s">
        <v>586</v>
      </c>
      <c r="C24" s="466" t="s">
        <v>585</v>
      </c>
      <c r="D24" s="508">
        <v>3</v>
      </c>
      <c r="E24" s="497"/>
      <c r="F24" s="497">
        <f t="shared" si="0"/>
        <v>0</v>
      </c>
      <c r="G24" s="497"/>
      <c r="H24" s="497"/>
      <c r="I24" s="497">
        <f t="shared" si="1"/>
        <v>0</v>
      </c>
      <c r="J24" s="423"/>
      <c r="K24" s="518">
        <v>0</v>
      </c>
      <c r="L24" s="518">
        <f t="shared" si="2"/>
        <v>0</v>
      </c>
      <c r="M24" s="518"/>
      <c r="N24" s="519">
        <f t="shared" si="3"/>
        <v>0</v>
      </c>
    </row>
    <row r="25" spans="1:14" x14ac:dyDescent="0.25">
      <c r="A25" s="498" t="s">
        <v>636</v>
      </c>
      <c r="B25" s="484" t="s">
        <v>588</v>
      </c>
      <c r="C25" s="466" t="s">
        <v>587</v>
      </c>
      <c r="D25" s="508">
        <v>2</v>
      </c>
      <c r="E25" s="497"/>
      <c r="F25" s="497">
        <f t="shared" si="0"/>
        <v>0</v>
      </c>
      <c r="G25" s="497"/>
      <c r="H25" s="497"/>
      <c r="I25" s="497">
        <f t="shared" si="1"/>
        <v>0</v>
      </c>
      <c r="J25" s="423"/>
      <c r="K25" s="518">
        <v>0</v>
      </c>
      <c r="L25" s="518">
        <f t="shared" si="2"/>
        <v>0</v>
      </c>
      <c r="M25" s="518"/>
      <c r="N25" s="519">
        <f t="shared" si="3"/>
        <v>0</v>
      </c>
    </row>
    <row r="26" spans="1:14" x14ac:dyDescent="0.25">
      <c r="A26" s="498" t="s">
        <v>637</v>
      </c>
      <c r="B26" s="485">
        <v>45</v>
      </c>
      <c r="C26" s="466" t="s">
        <v>581</v>
      </c>
      <c r="D26" s="508">
        <v>1</v>
      </c>
      <c r="E26" s="497"/>
      <c r="F26" s="497">
        <f t="shared" si="0"/>
        <v>0</v>
      </c>
      <c r="G26" s="497"/>
      <c r="H26" s="497"/>
      <c r="I26" s="497">
        <f t="shared" si="1"/>
        <v>0</v>
      </c>
      <c r="J26" s="423"/>
      <c r="K26" s="518">
        <v>0</v>
      </c>
      <c r="L26" s="518">
        <f t="shared" si="2"/>
        <v>0</v>
      </c>
      <c r="M26" s="518"/>
      <c r="N26" s="519">
        <f t="shared" si="3"/>
        <v>0</v>
      </c>
    </row>
    <row r="27" spans="1:14" x14ac:dyDescent="0.25">
      <c r="A27" s="498" t="s">
        <v>638</v>
      </c>
      <c r="B27" s="502">
        <v>13</v>
      </c>
      <c r="C27" s="505" t="s">
        <v>591</v>
      </c>
      <c r="D27" s="512">
        <v>1</v>
      </c>
      <c r="E27" s="497">
        <v>2000000</v>
      </c>
      <c r="F27" s="497">
        <f t="shared" si="0"/>
        <v>2000000</v>
      </c>
      <c r="G27" s="497"/>
      <c r="H27" s="497">
        <f>SUMIF('CTH lapak'!$M$8:$M$25,A27,'CTH lapak'!$O$8:$O$25)</f>
        <v>0</v>
      </c>
      <c r="I27" s="497">
        <f t="shared" si="1"/>
        <v>2000000</v>
      </c>
      <c r="J27" s="424"/>
      <c r="K27" s="518">
        <v>2000000</v>
      </c>
      <c r="L27" s="518">
        <f t="shared" si="2"/>
        <v>0</v>
      </c>
      <c r="M27" s="518"/>
      <c r="N27" s="519">
        <f t="shared" si="3"/>
        <v>0</v>
      </c>
    </row>
    <row r="28" spans="1:14" x14ac:dyDescent="0.25">
      <c r="A28" s="498" t="s">
        <v>644</v>
      </c>
      <c r="B28" s="500" t="s">
        <v>641</v>
      </c>
      <c r="C28" s="499" t="s">
        <v>592</v>
      </c>
      <c r="D28" s="513">
        <v>2</v>
      </c>
      <c r="E28" s="497">
        <v>2000000</v>
      </c>
      <c r="F28" s="497">
        <f t="shared" si="0"/>
        <v>4000000</v>
      </c>
      <c r="G28" s="497"/>
      <c r="H28" s="497">
        <f>SUMIF('CTH lapak'!$M$8:$M$25,A28,'CTH lapak'!$O$8:$O$25)</f>
        <v>0</v>
      </c>
      <c r="I28" s="497">
        <f t="shared" si="1"/>
        <v>4000000</v>
      </c>
      <c r="J28" s="424"/>
      <c r="K28" s="518">
        <v>4000000</v>
      </c>
      <c r="L28" s="518">
        <f t="shared" si="2"/>
        <v>0</v>
      </c>
      <c r="M28" s="518"/>
      <c r="N28" s="519">
        <f t="shared" si="3"/>
        <v>0</v>
      </c>
    </row>
    <row r="29" spans="1:14" x14ac:dyDescent="0.25">
      <c r="A29" s="498" t="s">
        <v>645</v>
      </c>
      <c r="B29" s="503">
        <v>22</v>
      </c>
      <c r="C29" s="505" t="s">
        <v>593</v>
      </c>
      <c r="D29" s="514">
        <v>1</v>
      </c>
      <c r="E29" s="497">
        <v>2000000</v>
      </c>
      <c r="F29" s="497">
        <f>D29*E29</f>
        <v>2000000</v>
      </c>
      <c r="G29" s="497"/>
      <c r="H29" s="497">
        <f>SUMIF('CTH lapak'!$M$8:$M$25,A29,'CTH lapak'!$O$8:$O$25)</f>
        <v>0</v>
      </c>
      <c r="I29" s="497">
        <f t="shared" si="1"/>
        <v>2000000</v>
      </c>
      <c r="J29" s="424"/>
      <c r="K29" s="518">
        <v>2000000</v>
      </c>
      <c r="L29" s="518">
        <f t="shared" si="2"/>
        <v>0</v>
      </c>
      <c r="M29" s="518"/>
      <c r="N29" s="519">
        <f>F29-K29-L29-M29</f>
        <v>0</v>
      </c>
    </row>
    <row r="30" spans="1:14" x14ac:dyDescent="0.25">
      <c r="A30" s="498" t="s">
        <v>646</v>
      </c>
      <c r="B30" s="500" t="s">
        <v>642</v>
      </c>
      <c r="C30" s="499" t="s">
        <v>594</v>
      </c>
      <c r="D30" s="513">
        <v>2</v>
      </c>
      <c r="E30" s="497">
        <v>2000000</v>
      </c>
      <c r="F30" s="497">
        <f>D30*E30</f>
        <v>4000000</v>
      </c>
      <c r="G30" s="497"/>
      <c r="H30" s="497">
        <f>SUMIF('CTH lapak'!$M$8:$M$25,A30,'CTH lapak'!$O$8:$O$25)</f>
        <v>0</v>
      </c>
      <c r="I30" s="497">
        <f t="shared" si="1"/>
        <v>4000000</v>
      </c>
      <c r="J30" s="424"/>
      <c r="K30" s="518">
        <v>4000000</v>
      </c>
      <c r="L30" s="518">
        <f t="shared" si="2"/>
        <v>0</v>
      </c>
      <c r="M30" s="518"/>
      <c r="N30" s="519">
        <f t="shared" si="3"/>
        <v>0</v>
      </c>
    </row>
    <row r="31" spans="1:14" x14ac:dyDescent="0.25">
      <c r="A31" s="498" t="s">
        <v>647</v>
      </c>
      <c r="B31" s="500" t="s">
        <v>643</v>
      </c>
      <c r="C31" s="499" t="s">
        <v>595</v>
      </c>
      <c r="D31" s="513">
        <v>2</v>
      </c>
      <c r="E31" s="497">
        <v>2000000</v>
      </c>
      <c r="F31" s="497">
        <f t="shared" si="0"/>
        <v>4000000</v>
      </c>
      <c r="G31" s="497"/>
      <c r="H31" s="497">
        <f>SUMIF('CTH lapak'!$M$8:$M$25,A31,'CTH lapak'!$O$8:$O$25)</f>
        <v>0</v>
      </c>
      <c r="I31" s="497">
        <f t="shared" si="1"/>
        <v>4000000</v>
      </c>
      <c r="J31" s="424"/>
      <c r="K31" s="518">
        <v>4000000</v>
      </c>
      <c r="L31" s="518">
        <f t="shared" si="2"/>
        <v>0</v>
      </c>
      <c r="M31" s="518"/>
      <c r="N31" s="519">
        <f t="shared" si="3"/>
        <v>0</v>
      </c>
    </row>
    <row r="32" spans="1:14" x14ac:dyDescent="0.25">
      <c r="A32" s="498" t="s">
        <v>648</v>
      </c>
      <c r="B32" s="501">
        <v>21</v>
      </c>
      <c r="C32" s="499" t="s">
        <v>596</v>
      </c>
      <c r="D32" s="515">
        <v>1</v>
      </c>
      <c r="E32" s="497">
        <v>2000000</v>
      </c>
      <c r="F32" s="497">
        <f t="shared" si="0"/>
        <v>2000000</v>
      </c>
      <c r="G32" s="497"/>
      <c r="H32" s="497">
        <f>SUMIF('CTH lapak'!$M$8:$M$25,A32,'CTH lapak'!$O$8:$O$25)</f>
        <v>0</v>
      </c>
      <c r="I32" s="497">
        <f t="shared" si="1"/>
        <v>2000000</v>
      </c>
      <c r="J32" s="424"/>
      <c r="K32" s="518">
        <v>2000000</v>
      </c>
      <c r="L32" s="518">
        <f t="shared" si="2"/>
        <v>0</v>
      </c>
      <c r="M32" s="518"/>
      <c r="N32" s="519">
        <f t="shared" si="3"/>
        <v>0</v>
      </c>
    </row>
    <row r="33" spans="1:14" x14ac:dyDescent="0.25">
      <c r="A33" s="498" t="s">
        <v>649</v>
      </c>
      <c r="B33" s="506">
        <v>20</v>
      </c>
      <c r="C33" s="504" t="s">
        <v>597</v>
      </c>
      <c r="D33" s="516">
        <v>1</v>
      </c>
      <c r="E33" s="497">
        <v>2000000</v>
      </c>
      <c r="F33" s="497">
        <f t="shared" si="0"/>
        <v>2000000</v>
      </c>
      <c r="G33" s="497"/>
      <c r="H33" s="497">
        <f>SUMIF('CTH lapak'!$M$8:$M$25,A33,'CTH lapak'!$O$8:$O$25)</f>
        <v>0</v>
      </c>
      <c r="I33" s="497">
        <f t="shared" si="1"/>
        <v>2000000</v>
      </c>
      <c r="J33" s="424"/>
      <c r="K33" s="518">
        <v>2000000</v>
      </c>
      <c r="L33" s="518">
        <f t="shared" si="2"/>
        <v>0</v>
      </c>
      <c r="M33" s="518"/>
      <c r="N33" s="519">
        <f t="shared" si="3"/>
        <v>0</v>
      </c>
    </row>
    <row r="34" spans="1:14" x14ac:dyDescent="0.25">
      <c r="A34" s="498" t="s">
        <v>650</v>
      </c>
      <c r="B34" s="507">
        <v>25</v>
      </c>
      <c r="C34" s="499" t="s">
        <v>640</v>
      </c>
      <c r="D34" s="517">
        <v>1</v>
      </c>
      <c r="E34" s="497">
        <v>2000000</v>
      </c>
      <c r="F34" s="497">
        <f t="shared" si="0"/>
        <v>2000000</v>
      </c>
      <c r="G34" s="497"/>
      <c r="H34" s="497">
        <f>SUMIF('CTH lapak'!$M$8:$M$25,A34,'CTH lapak'!$O$8:$O$25)</f>
        <v>0</v>
      </c>
      <c r="I34" s="497">
        <f t="shared" si="1"/>
        <v>2000000</v>
      </c>
      <c r="J34" s="424"/>
      <c r="K34" s="518">
        <v>2000000</v>
      </c>
      <c r="L34" s="518">
        <f t="shared" si="2"/>
        <v>0</v>
      </c>
      <c r="M34" s="518"/>
      <c r="N34" s="519">
        <f t="shared" si="3"/>
        <v>0</v>
      </c>
    </row>
    <row r="35" spans="1:14" x14ac:dyDescent="0.25">
      <c r="D35">
        <f>SUM(D5:D34)</f>
        <v>48</v>
      </c>
      <c r="E35" s="519"/>
      <c r="F35" s="519">
        <f>SUM(F5:F34)</f>
        <v>62000000</v>
      </c>
      <c r="G35" s="519">
        <f>SUM(G5:G34)</f>
        <v>26550000</v>
      </c>
      <c r="H35" s="519">
        <f t="shared" ref="H35:N35" si="4">SUM(H5:H34)</f>
        <v>0</v>
      </c>
      <c r="I35" s="519">
        <f>SUM(I5:I34)</f>
        <v>35450000</v>
      </c>
      <c r="J35" s="519">
        <f t="shared" si="4"/>
        <v>36</v>
      </c>
      <c r="K35" s="519">
        <f t="shared" si="4"/>
        <v>28000000</v>
      </c>
      <c r="L35" s="519">
        <f t="shared" si="4"/>
        <v>6000000</v>
      </c>
      <c r="M35" s="519">
        <f t="shared" si="4"/>
        <v>0</v>
      </c>
      <c r="N35" s="519">
        <f t="shared" si="4"/>
        <v>28000000</v>
      </c>
    </row>
    <row r="36" spans="1:14" x14ac:dyDescent="0.25">
      <c r="D36" s="531">
        <f>SUM(D27:D34)</f>
        <v>11</v>
      </c>
      <c r="E36" s="342">
        <f>E35/D35</f>
        <v>0</v>
      </c>
      <c r="F36" s="342">
        <f>F35/D35</f>
        <v>1291666.6666666667</v>
      </c>
    </row>
  </sheetData>
  <conditionalFormatting sqref="C5:C34">
    <cfRule type="duplicateValues" dxfId="0" priority="3"/>
  </conditionalFormatting>
  <pageMargins left="0.7" right="0.7" top="0.75" bottom="0.75" header="0.3" footer="0.3"/>
  <pageSetup scale="7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6"/>
  <sheetViews>
    <sheetView zoomScale="154" zoomScaleNormal="154" workbookViewId="0">
      <selection activeCell="C5" sqref="C5"/>
    </sheetView>
  </sheetViews>
  <sheetFormatPr defaultRowHeight="15" x14ac:dyDescent="0.25"/>
  <cols>
    <col min="1" max="1" width="28.5703125" customWidth="1"/>
    <col min="2" max="2" width="2.5703125" customWidth="1"/>
    <col min="5" max="5" width="20" style="251" customWidth="1"/>
    <col min="7" max="7" width="17.85546875" bestFit="1" customWidth="1"/>
  </cols>
  <sheetData>
    <row r="2" spans="1:3" x14ac:dyDescent="0.25">
      <c r="C2">
        <v>2021</v>
      </c>
    </row>
    <row r="3" spans="1:3" x14ac:dyDescent="0.25">
      <c r="C3">
        <v>2023</v>
      </c>
    </row>
    <row r="4" spans="1:3" x14ac:dyDescent="0.25">
      <c r="A4" t="s">
        <v>540</v>
      </c>
      <c r="B4" t="s">
        <v>542</v>
      </c>
      <c r="C4" t="s">
        <v>748</v>
      </c>
    </row>
    <row r="5" spans="1:3" x14ac:dyDescent="0.25">
      <c r="A5" t="s">
        <v>541</v>
      </c>
      <c r="B5" t="s">
        <v>542</v>
      </c>
      <c r="C5" t="s">
        <v>928</v>
      </c>
    </row>
    <row r="6" spans="1:3" x14ac:dyDescent="0.25">
      <c r="C6" s="369" t="s">
        <v>549</v>
      </c>
    </row>
    <row r="7" spans="1:3" x14ac:dyDescent="0.25">
      <c r="A7" s="369" t="s">
        <v>549</v>
      </c>
      <c r="B7" t="s">
        <v>542</v>
      </c>
      <c r="C7" s="369" t="s">
        <v>543</v>
      </c>
    </row>
    <row r="8" spans="1:3" x14ac:dyDescent="0.25">
      <c r="A8" t="s">
        <v>544</v>
      </c>
      <c r="B8" t="s">
        <v>542</v>
      </c>
      <c r="C8" t="s">
        <v>207</v>
      </c>
    </row>
    <row r="10" spans="1:3" x14ac:dyDescent="0.25">
      <c r="A10" t="s">
        <v>545</v>
      </c>
      <c r="C10" s="24" t="s">
        <v>413</v>
      </c>
    </row>
    <row r="11" spans="1:3" x14ac:dyDescent="0.25">
      <c r="A11" t="s">
        <v>546</v>
      </c>
    </row>
    <row r="12" spans="1:3" x14ac:dyDescent="0.25">
      <c r="A12" t="s">
        <v>547</v>
      </c>
      <c r="C12" s="417" t="s">
        <v>231</v>
      </c>
    </row>
    <row r="23" spans="6:8" x14ac:dyDescent="0.25">
      <c r="F23" s="491"/>
    </row>
    <row r="24" spans="6:8" x14ac:dyDescent="0.25">
      <c r="F24" s="492"/>
      <c r="G24" s="342"/>
    </row>
    <row r="25" spans="6:8" x14ac:dyDescent="0.25">
      <c r="G25" s="493"/>
      <c r="H25" s="492"/>
    </row>
    <row r="26" spans="6:8" x14ac:dyDescent="0.25">
      <c r="G26" s="493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view="pageBreakPreview" topLeftCell="A23" zoomScale="136" zoomScaleNormal="175" zoomScaleSheetLayoutView="136" workbookViewId="0">
      <selection activeCell="F35" sqref="F35"/>
    </sheetView>
  </sheetViews>
  <sheetFormatPr defaultColWidth="9" defaultRowHeight="15" x14ac:dyDescent="0.25"/>
  <cols>
    <col min="1" max="1" width="7.85546875" customWidth="1"/>
    <col min="2" max="2" width="25" customWidth="1"/>
    <col min="3" max="5" width="14.28515625" style="1" customWidth="1"/>
    <col min="6" max="6" width="14.5703125" bestFit="1" customWidth="1"/>
    <col min="7" max="256" width="10" customWidth="1"/>
    <col min="257" max="257" width="9" customWidth="1"/>
  </cols>
  <sheetData>
    <row r="1" spans="1:6" ht="23.25" x14ac:dyDescent="0.25">
      <c r="A1" s="464" t="str">
        <f>Sheet1!A7</f>
        <v>BADAN USAHA MILIK DESA</v>
      </c>
    </row>
    <row r="2" spans="1:6" ht="23.25" x14ac:dyDescent="0.25">
      <c r="A2" s="464" t="str">
        <f>Sheet1!C7</f>
        <v>" BAROKAH "</v>
      </c>
    </row>
    <row r="3" spans="1:6" ht="15.75" x14ac:dyDescent="0.25">
      <c r="A3" s="465" t="str">
        <f>Sheet1!C8</f>
        <v>Desa Balongbesuk Kecamatan Diwek Kabupaten Jombang</v>
      </c>
    </row>
    <row r="4" spans="1:6" ht="15.75" x14ac:dyDescent="0.25">
      <c r="A4" s="465" t="str">
        <f>Sheet1!C4</f>
        <v>TAHUN ANGGARAN 2025</v>
      </c>
    </row>
    <row r="6" spans="1:6" ht="18.75" x14ac:dyDescent="0.3">
      <c r="A6" s="861" t="s">
        <v>239</v>
      </c>
      <c r="B6" s="861"/>
      <c r="C6" s="861"/>
      <c r="D6" s="861"/>
      <c r="E6" s="861"/>
    </row>
    <row r="8" spans="1:6" ht="38.25" thickBot="1" x14ac:dyDescent="0.3">
      <c r="A8" s="18" t="s">
        <v>215</v>
      </c>
      <c r="B8" s="18" t="s">
        <v>216</v>
      </c>
      <c r="C8" s="19" t="s">
        <v>217</v>
      </c>
      <c r="D8" s="932" t="s">
        <v>218</v>
      </c>
      <c r="E8" s="19" t="s">
        <v>219</v>
      </c>
    </row>
    <row r="9" spans="1:6" ht="19.5" thickTop="1" x14ac:dyDescent="0.25">
      <c r="A9" s="936"/>
      <c r="B9" s="936"/>
      <c r="C9" s="932"/>
      <c r="D9" s="932"/>
      <c r="E9" s="932"/>
    </row>
    <row r="10" spans="1:6" ht="18.75" x14ac:dyDescent="0.25">
      <c r="A10" s="936"/>
      <c r="B10" s="936"/>
      <c r="C10" s="932"/>
      <c r="D10" s="932"/>
      <c r="E10" s="932"/>
    </row>
    <row r="11" spans="1:6" x14ac:dyDescent="0.25">
      <c r="A11" s="105">
        <v>1</v>
      </c>
      <c r="B11" s="98" t="s">
        <v>913</v>
      </c>
      <c r="C11" s="319">
        <v>19728.29</v>
      </c>
      <c r="D11" s="497">
        <v>5000</v>
      </c>
      <c r="E11" s="497">
        <v>3945.65</v>
      </c>
    </row>
    <row r="12" spans="1:6" x14ac:dyDescent="0.25">
      <c r="A12" s="105">
        <v>2</v>
      </c>
      <c r="B12" s="98" t="s">
        <v>914</v>
      </c>
      <c r="C12" s="319">
        <v>17829.419999999998</v>
      </c>
      <c r="D12" s="497">
        <v>5000</v>
      </c>
      <c r="E12" s="497">
        <v>3565.8839999999996</v>
      </c>
      <c r="F12" s="342"/>
    </row>
    <row r="13" spans="1:6" x14ac:dyDescent="0.25">
      <c r="A13" s="105">
        <v>3</v>
      </c>
      <c r="B13" s="98" t="s">
        <v>915</v>
      </c>
      <c r="C13" s="319">
        <v>19749.57</v>
      </c>
      <c r="D13" s="497">
        <v>5000</v>
      </c>
      <c r="E13" s="497">
        <v>3949.9140000000002</v>
      </c>
      <c r="F13" s="342"/>
    </row>
    <row r="14" spans="1:6" x14ac:dyDescent="0.25">
      <c r="A14" s="105">
        <v>4</v>
      </c>
      <c r="B14" s="626" t="s">
        <v>916</v>
      </c>
      <c r="C14" s="319">
        <v>19123.580000000002</v>
      </c>
      <c r="D14" s="497">
        <v>5000</v>
      </c>
      <c r="E14" s="497">
        <v>3824.71</v>
      </c>
      <c r="F14" s="627"/>
    </row>
    <row r="15" spans="1:6" x14ac:dyDescent="0.25">
      <c r="A15" s="105">
        <v>5</v>
      </c>
      <c r="B15" s="101" t="s">
        <v>917</v>
      </c>
      <c r="C15" s="319">
        <v>19771</v>
      </c>
      <c r="D15" s="497">
        <v>5000</v>
      </c>
      <c r="E15" s="497">
        <v>3954</v>
      </c>
      <c r="F15" s="627"/>
    </row>
    <row r="16" spans="1:6" x14ac:dyDescent="0.25">
      <c r="A16" s="105">
        <v>6</v>
      </c>
      <c r="B16" s="98" t="s">
        <v>918</v>
      </c>
      <c r="C16" s="319">
        <v>22974</v>
      </c>
      <c r="D16" s="497">
        <v>5000</v>
      </c>
      <c r="E16" s="497">
        <v>4594</v>
      </c>
      <c r="F16" s="627"/>
    </row>
    <row r="17" spans="1:6" x14ac:dyDescent="0.25">
      <c r="A17" s="105">
        <v>7</v>
      </c>
      <c r="B17" s="101" t="s">
        <v>919</v>
      </c>
      <c r="C17" s="319">
        <v>23757</v>
      </c>
      <c r="D17" s="497">
        <v>5000</v>
      </c>
      <c r="E17" s="497">
        <v>4751</v>
      </c>
      <c r="F17" s="627"/>
    </row>
    <row r="18" spans="1:6" x14ac:dyDescent="0.25">
      <c r="A18" s="105">
        <v>8</v>
      </c>
      <c r="B18" s="101" t="s">
        <v>920</v>
      </c>
      <c r="C18" s="319">
        <v>23775</v>
      </c>
      <c r="D18" s="497">
        <v>5000</v>
      </c>
      <c r="E18" s="497">
        <v>4755</v>
      </c>
      <c r="F18" s="627"/>
    </row>
    <row r="19" spans="1:6" x14ac:dyDescent="0.25">
      <c r="A19" s="105">
        <v>9</v>
      </c>
      <c r="B19" s="626" t="s">
        <v>921</v>
      </c>
      <c r="C19" s="319">
        <v>23025</v>
      </c>
      <c r="D19" s="497">
        <v>5000</v>
      </c>
      <c r="E19" s="497">
        <v>4605</v>
      </c>
      <c r="F19" s="627"/>
    </row>
    <row r="20" spans="1:6" x14ac:dyDescent="0.25">
      <c r="A20" s="105">
        <v>10</v>
      </c>
      <c r="B20" s="101" t="s">
        <v>922</v>
      </c>
      <c r="C20" s="319">
        <v>23809</v>
      </c>
      <c r="D20" s="628">
        <v>5000</v>
      </c>
      <c r="E20" s="497">
        <v>4761.8</v>
      </c>
      <c r="F20" s="627"/>
    </row>
    <row r="21" spans="1:6" x14ac:dyDescent="0.25">
      <c r="A21" s="105">
        <v>11</v>
      </c>
      <c r="B21" s="101" t="s">
        <v>923</v>
      </c>
      <c r="C21" s="319">
        <v>23059</v>
      </c>
      <c r="D21" s="497">
        <v>5000</v>
      </c>
      <c r="E21" s="497">
        <v>4611.8</v>
      </c>
      <c r="F21" s="627"/>
    </row>
    <row r="22" spans="1:6" ht="15.75" thickBot="1" x14ac:dyDescent="0.3">
      <c r="A22" s="105">
        <v>12</v>
      </c>
      <c r="B22" s="23" t="s">
        <v>924</v>
      </c>
      <c r="C22" s="319">
        <v>142575</v>
      </c>
      <c r="D22" s="572"/>
      <c r="E22" s="572">
        <v>28515</v>
      </c>
      <c r="F22" s="627"/>
    </row>
    <row r="23" spans="1:6" ht="15.75" thickTop="1" x14ac:dyDescent="0.25">
      <c r="A23" s="21"/>
      <c r="B23" s="21"/>
      <c r="C23" s="629">
        <f>SUM(C11:C22)</f>
        <v>379175.86</v>
      </c>
      <c r="D23" s="22">
        <f>SUM(D11:D22)</f>
        <v>55000</v>
      </c>
      <c r="E23" s="628">
        <f>SUM(E11:E22)</f>
        <v>75833.758000000002</v>
      </c>
    </row>
    <row r="24" spans="1:6" x14ac:dyDescent="0.25">
      <c r="C24" s="16"/>
    </row>
    <row r="25" spans="1:6" x14ac:dyDescent="0.25">
      <c r="D25" s="1" t="str">
        <f>'LAPORAN LABA'!D63</f>
        <v>Balongbesuk, 15 Januari 2025</v>
      </c>
    </row>
    <row r="26" spans="1:6" x14ac:dyDescent="0.25">
      <c r="B26" t="str">
        <f>'LAPORAN LABA'!C64</f>
        <v>Dilaporkan Oleh;</v>
      </c>
      <c r="D26" s="1" t="str">
        <f>'LAPORAN LABA'!D64</f>
        <v>Dibuat Oleh;</v>
      </c>
    </row>
    <row r="30" spans="1:6" ht="17.25" x14ac:dyDescent="0.4">
      <c r="B30" s="563" t="str">
        <f>NERACA!I39</f>
        <v>DODIK SUSANTO, S.Fil.I</v>
      </c>
      <c r="D30" s="25" t="str">
        <f>Sheet1!C12</f>
        <v>MAMIK KURNIAWATI</v>
      </c>
    </row>
    <row r="31" spans="1:6" x14ac:dyDescent="0.25">
      <c r="B31" t="str">
        <f>'LAPORAN LABA'!C68</f>
        <v>Direktur BUMDesa "BAROKAH"</v>
      </c>
      <c r="D31" s="1" t="str">
        <f>NERACA!J40</f>
        <v>Bendahara BUMDesa "BAROKAH"</v>
      </c>
    </row>
  </sheetData>
  <mergeCells count="1">
    <mergeCell ref="A6:E6"/>
  </mergeCells>
  <pageMargins left="1.1499999999999999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6"/>
  <sheetViews>
    <sheetView tabSelected="1" view="pageBreakPreview" zoomScale="98" zoomScaleSheetLayoutView="98" workbookViewId="0">
      <pane xSplit="3" ySplit="8" topLeftCell="D9" activePane="bottomRight" state="frozen"/>
      <selection pane="topRight" activeCell="D1" sqref="D1"/>
      <selection pane="bottomLeft" activeCell="A9" sqref="A9"/>
      <selection pane="bottomRight" sqref="A1:XFD1048576"/>
    </sheetView>
  </sheetViews>
  <sheetFormatPr defaultColWidth="9" defaultRowHeight="15" x14ac:dyDescent="0.25"/>
  <cols>
    <col min="1" max="1" width="6.140625" style="406" customWidth="1"/>
    <col min="2" max="2" width="8.85546875" style="406" customWidth="1"/>
    <col min="3" max="3" width="20.42578125" style="406" customWidth="1"/>
    <col min="4" max="4" width="14.42578125" style="121" customWidth="1"/>
    <col min="5" max="5" width="15.140625" style="121" bestFit="1" customWidth="1"/>
    <col min="6" max="6" width="14.140625" style="121" customWidth="1"/>
    <col min="7" max="7" width="14" style="121" bestFit="1" customWidth="1"/>
    <col min="8" max="8" width="12.5703125" style="121" customWidth="1"/>
    <col min="9" max="10" width="12.5703125" style="406" customWidth="1"/>
    <col min="11" max="12" width="15.140625" style="121" bestFit="1" customWidth="1"/>
    <col min="13" max="13" width="13.85546875" style="121" customWidth="1"/>
    <col min="14" max="14" width="11.5703125" style="406" customWidth="1"/>
    <col min="15" max="18" width="14.7109375" style="553" bestFit="1" customWidth="1"/>
    <col min="19" max="19" width="13.5703125" style="553" bestFit="1" customWidth="1"/>
    <col min="20" max="20" width="13.5703125" style="406" bestFit="1" customWidth="1"/>
    <col min="21" max="256" width="10" style="406" customWidth="1"/>
    <col min="257" max="257" width="9" style="406" customWidth="1"/>
    <col min="258" max="16384" width="9" style="406"/>
  </cols>
  <sheetData>
    <row r="1" spans="1:20" ht="17.25" x14ac:dyDescent="0.25">
      <c r="A1" s="947" t="s">
        <v>7</v>
      </c>
      <c r="O1" s="406"/>
      <c r="P1" s="406"/>
      <c r="Q1" s="406"/>
      <c r="R1" s="406"/>
      <c r="S1" s="406"/>
    </row>
    <row r="2" spans="1:20" ht="19.5" x14ac:dyDescent="0.3">
      <c r="A2" s="948" t="s">
        <v>229</v>
      </c>
      <c r="O2" s="406"/>
      <c r="P2" s="406"/>
      <c r="Q2" s="406"/>
      <c r="R2" s="406"/>
      <c r="S2" s="406"/>
    </row>
    <row r="3" spans="1:20" x14ac:dyDescent="0.25">
      <c r="A3" s="406" t="s">
        <v>230</v>
      </c>
      <c r="O3" s="406"/>
      <c r="P3" s="406"/>
      <c r="Q3" s="406"/>
      <c r="R3" s="406"/>
      <c r="S3" s="406"/>
    </row>
    <row r="4" spans="1:20" x14ac:dyDescent="0.25">
      <c r="A4" s="949" t="s">
        <v>929</v>
      </c>
      <c r="O4" s="553">
        <v>15000000</v>
      </c>
      <c r="P4" s="553">
        <v>20000000</v>
      </c>
      <c r="Q4" s="553">
        <v>15000000</v>
      </c>
      <c r="R4" s="553">
        <f>50000000-O4+P4-Q4</f>
        <v>40000000</v>
      </c>
      <c r="S4" s="406"/>
    </row>
    <row r="5" spans="1:20" x14ac:dyDescent="0.25">
      <c r="A5" s="949"/>
      <c r="O5" s="406"/>
      <c r="P5" s="406"/>
      <c r="Q5" s="406"/>
      <c r="R5" s="406"/>
      <c r="S5" s="406"/>
    </row>
    <row r="6" spans="1:20" x14ac:dyDescent="0.25">
      <c r="A6" s="950" t="s">
        <v>8</v>
      </c>
      <c r="B6" s="950" t="s">
        <v>9</v>
      </c>
      <c r="C6" s="950" t="s">
        <v>10</v>
      </c>
      <c r="D6" s="951" t="s">
        <v>930</v>
      </c>
      <c r="E6" s="950" t="s">
        <v>889</v>
      </c>
      <c r="F6" s="950"/>
      <c r="G6" s="950"/>
      <c r="H6" s="950"/>
      <c r="I6" s="950"/>
      <c r="J6" s="950"/>
      <c r="K6" s="952" t="s">
        <v>11</v>
      </c>
      <c r="L6" s="952" t="s">
        <v>12</v>
      </c>
      <c r="M6" s="951" t="s">
        <v>13</v>
      </c>
      <c r="O6" s="406"/>
      <c r="P6" s="406"/>
      <c r="Q6" s="406"/>
      <c r="R6" s="406"/>
      <c r="S6" s="406"/>
    </row>
    <row r="7" spans="1:20" x14ac:dyDescent="0.25">
      <c r="A7" s="950"/>
      <c r="B7" s="950"/>
      <c r="C7" s="950"/>
      <c r="D7" s="951"/>
      <c r="E7" s="952" t="s">
        <v>16</v>
      </c>
      <c r="F7" s="952"/>
      <c r="G7" s="952" t="s">
        <v>14</v>
      </c>
      <c r="H7" s="952"/>
      <c r="I7" s="953" t="s">
        <v>15</v>
      </c>
      <c r="J7" s="954"/>
      <c r="K7" s="952"/>
      <c r="L7" s="952"/>
      <c r="M7" s="951"/>
      <c r="O7" s="406" t="s">
        <v>611</v>
      </c>
      <c r="P7" s="406" t="s">
        <v>612</v>
      </c>
      <c r="Q7" s="406" t="s">
        <v>613</v>
      </c>
      <c r="R7" s="406" t="s">
        <v>614</v>
      </c>
      <c r="S7" s="406" t="s">
        <v>615</v>
      </c>
    </row>
    <row r="8" spans="1:20" x14ac:dyDescent="0.25">
      <c r="A8" s="950"/>
      <c r="B8" s="950"/>
      <c r="C8" s="950"/>
      <c r="D8" s="951"/>
      <c r="E8" s="955" t="s">
        <v>11</v>
      </c>
      <c r="F8" s="955" t="s">
        <v>12</v>
      </c>
      <c r="G8" s="955" t="s">
        <v>11</v>
      </c>
      <c r="H8" s="955" t="s">
        <v>12</v>
      </c>
      <c r="I8" s="956" t="s">
        <v>11</v>
      </c>
      <c r="J8" s="956" t="s">
        <v>12</v>
      </c>
      <c r="K8" s="952"/>
      <c r="L8" s="952"/>
      <c r="M8" s="951"/>
    </row>
    <row r="9" spans="1:20" x14ac:dyDescent="0.25">
      <c r="A9" s="957"/>
      <c r="B9" s="12" t="s">
        <v>199</v>
      </c>
      <c r="C9" s="958" t="s">
        <v>198</v>
      </c>
      <c r="D9" s="959">
        <v>33000000</v>
      </c>
      <c r="E9" s="416">
        <f>SUMIF('cth sp'!$M$9:$M$107,B9,'cth sp'!$N$9:$N$107)</f>
        <v>0</v>
      </c>
      <c r="F9" s="416">
        <f>SUMIF('cth sp'!$M$9:$M$107,B9,'cth sp'!$O$9:$O$107)</f>
        <v>5000000</v>
      </c>
      <c r="G9" s="416">
        <f>SUMIF('cth sp'!$M$114:$M$158,B9,'cth sp'!$N$114:$N$158)</f>
        <v>0</v>
      </c>
      <c r="H9" s="416">
        <f>SUMIF('cth sp'!$M$114:$M$158,B9,'cth sp'!$O$114:$O$158)</f>
        <v>0</v>
      </c>
      <c r="I9" s="416">
        <f>SUMIF('cth sp'!$M$165:$M$389,B9,'cth sp'!$N$165:$N$389)</f>
        <v>0</v>
      </c>
      <c r="J9" s="416">
        <f>SUMIF('cth sp'!$M$159:$M$389,B9,'cth sp'!$O$159:$O$389)</f>
        <v>0</v>
      </c>
      <c r="K9" s="416">
        <f t="shared" ref="K9:K40" si="0">E9+G9+I9</f>
        <v>0</v>
      </c>
      <c r="L9" s="416">
        <f t="shared" ref="L9:L40" si="1">F9+H9+J9</f>
        <v>5000000</v>
      </c>
      <c r="M9" s="416">
        <f t="shared" ref="M9:M40" si="2">D9+K9-L9</f>
        <v>28000000</v>
      </c>
      <c r="S9" s="553">
        <f>SUM(O9:R9)</f>
        <v>0</v>
      </c>
    </row>
    <row r="10" spans="1:20" x14ac:dyDescent="0.25">
      <c r="A10" s="12">
        <v>1</v>
      </c>
      <c r="B10" s="12" t="s">
        <v>22</v>
      </c>
      <c r="C10" s="8" t="s">
        <v>163</v>
      </c>
      <c r="D10" s="416">
        <v>1000000</v>
      </c>
      <c r="E10" s="416">
        <f>SUMIF('cth sp'!$M$9:$M$107,B10,'cth sp'!$N$9:$N$107)</f>
        <v>1000000</v>
      </c>
      <c r="F10" s="416">
        <f>SUMIF('cth sp'!$M$9:$M$107,B10,'cth sp'!$O$9:$O$107)</f>
        <v>1000000</v>
      </c>
      <c r="G10" s="416">
        <f>SUMIF('cth sp'!$M$114:$M$158,B10,'cth sp'!$N$114:$N$158)</f>
        <v>0</v>
      </c>
      <c r="H10" s="416">
        <f>SUMIF('cth sp'!$M$114:$M$158,B10,'cth sp'!$O$114:$O$158)</f>
        <v>0</v>
      </c>
      <c r="I10" s="416">
        <f>SUMIF('cth sp'!$M$159:$M$389,B10,'cth sp'!$N$159:$N$389)</f>
        <v>0</v>
      </c>
      <c r="J10" s="416">
        <f>SUMIF('cth sp'!$M$159:$M$389,B10,'cth sp'!$O$159:$O$389)</f>
        <v>0</v>
      </c>
      <c r="K10" s="416">
        <f t="shared" si="0"/>
        <v>1000000</v>
      </c>
      <c r="L10" s="416">
        <f t="shared" si="1"/>
        <v>1000000</v>
      </c>
      <c r="M10" s="416">
        <f t="shared" si="2"/>
        <v>1000000</v>
      </c>
      <c r="S10" s="553">
        <f t="shared" ref="S10:S73" si="3">SUM(O10:R10)</f>
        <v>0</v>
      </c>
      <c r="T10" s="553">
        <v>280000</v>
      </c>
    </row>
    <row r="11" spans="1:20" x14ac:dyDescent="0.25">
      <c r="A11" s="12">
        <v>2</v>
      </c>
      <c r="B11" s="12" t="s">
        <v>23</v>
      </c>
      <c r="C11" s="8" t="s">
        <v>164</v>
      </c>
      <c r="D11" s="416">
        <v>1000000</v>
      </c>
      <c r="E11" s="416">
        <f>SUMIF('cth sp'!$M$9:$M$107,B11,'cth sp'!$N$9:$N$107)</f>
        <v>0</v>
      </c>
      <c r="F11" s="416">
        <f>SUMIF('cth sp'!$M$9:$M$107,B11,'cth sp'!$O$9:$O$107)</f>
        <v>0</v>
      </c>
      <c r="G11" s="416">
        <f>SUMIF('cth sp'!$M$114:$M$158,B11,'cth sp'!$N$114:$N$158)</f>
        <v>0</v>
      </c>
      <c r="H11" s="416">
        <f>SUMIF('cth sp'!$M$114:$M$158,B11,'cth sp'!$O$114:$O$158)</f>
        <v>0</v>
      </c>
      <c r="I11" s="416">
        <f>SUMIF('cth sp'!$M$159:$M$389,B11,'cth sp'!$N$159:$N$389)</f>
        <v>0</v>
      </c>
      <c r="J11" s="416">
        <f>SUMIF('cth sp'!$M$159:$M$389,B11,'cth sp'!$O$159:$O$389)</f>
        <v>0</v>
      </c>
      <c r="K11" s="416">
        <f t="shared" si="0"/>
        <v>0</v>
      </c>
      <c r="L11" s="416">
        <f t="shared" si="1"/>
        <v>0</v>
      </c>
      <c r="M11" s="416">
        <f t="shared" si="2"/>
        <v>1000000</v>
      </c>
      <c r="P11" s="553">
        <v>90000</v>
      </c>
      <c r="Q11" s="553">
        <v>20000</v>
      </c>
      <c r="R11" s="553">
        <v>30000</v>
      </c>
      <c r="S11" s="553">
        <f t="shared" si="3"/>
        <v>140000</v>
      </c>
      <c r="T11" s="553">
        <v>140000</v>
      </c>
    </row>
    <row r="12" spans="1:20" x14ac:dyDescent="0.25">
      <c r="A12" s="12">
        <v>3</v>
      </c>
      <c r="B12" s="12" t="s">
        <v>24</v>
      </c>
      <c r="C12" s="8" t="s">
        <v>165</v>
      </c>
      <c r="D12" s="416">
        <v>0</v>
      </c>
      <c r="E12" s="416">
        <f>SUMIF('cth sp'!$M$9:$M$107,B12,'cth sp'!$N$9:$N$107)</f>
        <v>0</v>
      </c>
      <c r="F12" s="416">
        <f>SUMIF('cth sp'!$M$9:$M$107,B12,'cth sp'!$O$9:$O$107)</f>
        <v>0</v>
      </c>
      <c r="G12" s="416">
        <f>SUMIF('cth sp'!$M$114:$M$158,B12,'cth sp'!$N$114:$N$158)</f>
        <v>0</v>
      </c>
      <c r="H12" s="416">
        <f>SUMIF('cth sp'!$M$114:$M$158,B12,'cth sp'!$O$114:$O$158)</f>
        <v>0</v>
      </c>
      <c r="I12" s="416">
        <f>SUMIF('cth sp'!$M$159:$M$389,B12,'cth sp'!$N$159:$N$389)</f>
        <v>0</v>
      </c>
      <c r="J12" s="416">
        <f>SUMIF('cth sp'!$M$159:$M$389,B12,'cth sp'!$O$159:$O$389)</f>
        <v>0</v>
      </c>
      <c r="K12" s="416">
        <f t="shared" si="0"/>
        <v>0</v>
      </c>
      <c r="L12" s="416">
        <f t="shared" si="1"/>
        <v>0</v>
      </c>
      <c r="M12" s="416">
        <f t="shared" si="2"/>
        <v>0</v>
      </c>
      <c r="O12" s="553">
        <v>1000000</v>
      </c>
      <c r="S12" s="553">
        <f t="shared" si="3"/>
        <v>1000000</v>
      </c>
    </row>
    <row r="13" spans="1:20" x14ac:dyDescent="0.25">
      <c r="A13" s="12">
        <v>4</v>
      </c>
      <c r="B13" s="12" t="s">
        <v>25</v>
      </c>
      <c r="C13" s="8" t="s">
        <v>166</v>
      </c>
      <c r="D13" s="416">
        <v>1000000</v>
      </c>
      <c r="E13" s="416">
        <f>SUMIF('cth sp'!$M$9:$M$107,B13,'cth sp'!$N$9:$N$107)</f>
        <v>0</v>
      </c>
      <c r="F13" s="416">
        <f>SUMIF('cth sp'!$M$9:$M$107,B13,'cth sp'!$O$9:$O$107)</f>
        <v>0</v>
      </c>
      <c r="G13" s="416">
        <f>SUMIF('cth sp'!$M$114:$M$158,B13,'cth sp'!$N$114:$N$158)</f>
        <v>0</v>
      </c>
      <c r="H13" s="416">
        <f>SUMIF('cth sp'!$M$114:$M$158,B13,'cth sp'!$O$114:$O$158)</f>
        <v>0</v>
      </c>
      <c r="I13" s="416">
        <f>SUMIF('cth sp'!$M$159:$M$389,B13,'cth sp'!$N$159:$N$389)</f>
        <v>0</v>
      </c>
      <c r="J13" s="416">
        <f>SUMIF('cth sp'!$M$159:$M$389,B13,'cth sp'!$O$159:$O$389)</f>
        <v>0</v>
      </c>
      <c r="K13" s="416">
        <f t="shared" si="0"/>
        <v>0</v>
      </c>
      <c r="L13" s="416">
        <f t="shared" si="1"/>
        <v>0</v>
      </c>
      <c r="M13" s="416">
        <f t="shared" si="2"/>
        <v>1000000</v>
      </c>
      <c r="S13" s="553">
        <f t="shared" si="3"/>
        <v>0</v>
      </c>
    </row>
    <row r="14" spans="1:20" x14ac:dyDescent="0.25">
      <c r="A14" s="12">
        <v>5</v>
      </c>
      <c r="B14" s="12" t="s">
        <v>26</v>
      </c>
      <c r="C14" s="8" t="s">
        <v>167</v>
      </c>
      <c r="D14" s="416">
        <v>0</v>
      </c>
      <c r="E14" s="416">
        <f>SUMIF('cth sp'!$M$9:$M$107,B14,'cth sp'!$N$9:$N$107)</f>
        <v>0</v>
      </c>
      <c r="F14" s="416">
        <f>SUMIF('cth sp'!$M$9:$M$107,B14,'cth sp'!$O$9:$O$107)</f>
        <v>0</v>
      </c>
      <c r="G14" s="416">
        <f>SUMIF('cth sp'!$M$114:$M$158,B14,'cth sp'!$N$114:$N$158)</f>
        <v>0</v>
      </c>
      <c r="H14" s="416">
        <f>SUMIF('cth sp'!$M$114:$M$158,B14,'cth sp'!$O$114:$O$158)</f>
        <v>0</v>
      </c>
      <c r="I14" s="416">
        <f>SUMIF('cth sp'!$M$159:$M$389,B14,'cth sp'!$N$159:$N$389)</f>
        <v>0</v>
      </c>
      <c r="J14" s="416">
        <f>SUMIF('cth sp'!$M$159:$M$389,B14,'cth sp'!$O$159:$O$389)</f>
        <v>0</v>
      </c>
      <c r="K14" s="416">
        <f t="shared" si="0"/>
        <v>0</v>
      </c>
      <c r="L14" s="416">
        <f t="shared" si="1"/>
        <v>0</v>
      </c>
      <c r="M14" s="416">
        <f t="shared" si="2"/>
        <v>0</v>
      </c>
      <c r="P14" s="553">
        <f>90000*2</f>
        <v>180000</v>
      </c>
      <c r="Q14" s="553">
        <v>40000</v>
      </c>
      <c r="R14" s="553">
        <v>60000</v>
      </c>
      <c r="S14" s="553">
        <f t="shared" si="3"/>
        <v>280000</v>
      </c>
      <c r="T14" s="553">
        <v>140000</v>
      </c>
    </row>
    <row r="15" spans="1:20" x14ac:dyDescent="0.25">
      <c r="A15" s="12">
        <v>6</v>
      </c>
      <c r="B15" s="12" t="s">
        <v>27</v>
      </c>
      <c r="C15" s="8" t="s">
        <v>168</v>
      </c>
      <c r="D15" s="416">
        <v>1000000</v>
      </c>
      <c r="E15" s="416">
        <f>SUMIF('cth sp'!$M$9:$M$107,B15,'cth sp'!$N$9:$N$107)</f>
        <v>1000000</v>
      </c>
      <c r="F15" s="416">
        <f>SUMIF('cth sp'!$M$9:$M$107,B15,'cth sp'!$O$9:$O$107)</f>
        <v>1000000</v>
      </c>
      <c r="G15" s="416">
        <f>SUMIF('cth sp'!$M$114:$M$158,B15,'cth sp'!$N$114:$N$158)</f>
        <v>0</v>
      </c>
      <c r="H15" s="416">
        <f>SUMIF('cth sp'!$M$114:$M$158,B15,'cth sp'!$O$114:$O$158)</f>
        <v>0</v>
      </c>
      <c r="I15" s="416">
        <f>SUMIF('cth sp'!$M$159:$M$389,B15,'cth sp'!$N$159:$N$389)</f>
        <v>0</v>
      </c>
      <c r="J15" s="416">
        <f>SUMIF('cth sp'!$M$159:$M$389,B15,'cth sp'!$O$159:$O$389)</f>
        <v>0</v>
      </c>
      <c r="K15" s="416">
        <f t="shared" si="0"/>
        <v>1000000</v>
      </c>
      <c r="L15" s="416">
        <f t="shared" si="1"/>
        <v>1000000</v>
      </c>
      <c r="M15" s="416">
        <f t="shared" si="2"/>
        <v>1000000</v>
      </c>
      <c r="P15" s="553">
        <v>90000</v>
      </c>
      <c r="Q15" s="553">
        <v>20000</v>
      </c>
      <c r="R15" s="553">
        <v>30000</v>
      </c>
      <c r="S15" s="553">
        <f t="shared" si="3"/>
        <v>140000</v>
      </c>
      <c r="T15" s="553">
        <v>140000</v>
      </c>
    </row>
    <row r="16" spans="1:20" x14ac:dyDescent="0.25">
      <c r="A16" s="12">
        <v>7</v>
      </c>
      <c r="B16" s="12" t="s">
        <v>28</v>
      </c>
      <c r="C16" s="8" t="s">
        <v>169</v>
      </c>
      <c r="D16" s="416">
        <v>1000000</v>
      </c>
      <c r="E16" s="416">
        <f>SUMIF('cth sp'!$M$9:$M$107,B16,'cth sp'!$N$9:$N$107)</f>
        <v>0</v>
      </c>
      <c r="F16" s="416">
        <f>SUMIF('cth sp'!$M$9:$M$107,B16,'cth sp'!$O$9:$O$107)</f>
        <v>0</v>
      </c>
      <c r="G16" s="416">
        <f>SUMIF('cth sp'!$M$114:$M$158,B16,'cth sp'!$N$114:$N$158)</f>
        <v>0</v>
      </c>
      <c r="H16" s="416">
        <f>SUMIF('cth sp'!$M$114:$M$158,B16,'cth sp'!$O$114:$O$158)</f>
        <v>0</v>
      </c>
      <c r="I16" s="416">
        <f>SUMIF('cth sp'!$M$159:$M$389,B16,'cth sp'!$N$159:$N$389)</f>
        <v>0</v>
      </c>
      <c r="J16" s="416">
        <f>SUMIF('cth sp'!$M$159:$M$389,B16,'cth sp'!$O$159:$O$389)</f>
        <v>0</v>
      </c>
      <c r="K16" s="416">
        <f t="shared" si="0"/>
        <v>0</v>
      </c>
      <c r="L16" s="416">
        <f t="shared" si="1"/>
        <v>0</v>
      </c>
      <c r="M16" s="416">
        <f t="shared" si="2"/>
        <v>1000000</v>
      </c>
      <c r="P16" s="553">
        <v>90000</v>
      </c>
      <c r="Q16" s="553">
        <v>20000</v>
      </c>
      <c r="R16" s="553">
        <v>30000</v>
      </c>
      <c r="S16" s="553">
        <f t="shared" si="3"/>
        <v>140000</v>
      </c>
    </row>
    <row r="17" spans="1:20" x14ac:dyDescent="0.25">
      <c r="A17" s="12">
        <v>8</v>
      </c>
      <c r="B17" s="12" t="s">
        <v>30</v>
      </c>
      <c r="C17" s="8" t="s">
        <v>170</v>
      </c>
      <c r="D17" s="416">
        <v>2000000</v>
      </c>
      <c r="E17" s="416">
        <f>SUMIF('cth sp'!$M$9:$M$107,B17,'cth sp'!$N$9:$N$107)</f>
        <v>0</v>
      </c>
      <c r="F17" s="416">
        <f>SUMIF('cth sp'!$M$9:$M$107,B17,'cth sp'!$O$9:$O$107)</f>
        <v>0</v>
      </c>
      <c r="G17" s="416">
        <f>SUMIF('cth sp'!$M$114:$M$158,B17,'cth sp'!$N$114:$N$158)</f>
        <v>0</v>
      </c>
      <c r="H17" s="416">
        <f>SUMIF('cth sp'!$M$114:$M$158,B17,'cth sp'!$O$114:$O$158)</f>
        <v>1000000</v>
      </c>
      <c r="I17" s="416">
        <f>SUMIF('cth sp'!$M$159:$M$389,B17,'cth sp'!$N$159:$N$389)</f>
        <v>0</v>
      </c>
      <c r="J17" s="416">
        <f>SUMIF('cth sp'!$M$159:$M$389,B17,'cth sp'!$O$159:$O$389)</f>
        <v>0</v>
      </c>
      <c r="K17" s="416">
        <f t="shared" si="0"/>
        <v>0</v>
      </c>
      <c r="L17" s="416">
        <f t="shared" si="1"/>
        <v>1000000</v>
      </c>
      <c r="M17" s="416">
        <f t="shared" si="2"/>
        <v>1000000</v>
      </c>
      <c r="P17" s="553">
        <v>90000</v>
      </c>
      <c r="Q17" s="553">
        <v>20000</v>
      </c>
      <c r="R17" s="553">
        <v>30000</v>
      </c>
      <c r="S17" s="553">
        <f t="shared" si="3"/>
        <v>140000</v>
      </c>
      <c r="T17" s="553">
        <v>140000</v>
      </c>
    </row>
    <row r="18" spans="1:20" x14ac:dyDescent="0.25">
      <c r="A18" s="12">
        <v>9</v>
      </c>
      <c r="B18" s="12" t="s">
        <v>31</v>
      </c>
      <c r="C18" s="8" t="s">
        <v>171</v>
      </c>
      <c r="D18" s="416">
        <v>0</v>
      </c>
      <c r="E18" s="416">
        <f>SUMIF('cth sp'!$M$9:$M$107,B18,'cth sp'!$N$9:$N$107)</f>
        <v>0</v>
      </c>
      <c r="F18" s="416">
        <f>SUMIF('cth sp'!$M$9:$M$107,B18,'cth sp'!$O$9:$O$107)</f>
        <v>0</v>
      </c>
      <c r="G18" s="416">
        <f>SUMIF('cth sp'!$M$114:$M$158,B18,'cth sp'!$N$114:$N$158)</f>
        <v>0</v>
      </c>
      <c r="H18" s="416">
        <f>SUMIF('cth sp'!$M$114:$M$158,B18,'cth sp'!$O$114:$O$158)</f>
        <v>0</v>
      </c>
      <c r="I18" s="416">
        <f>SUMIF('cth sp'!$M$159:$M$389,B18,'cth sp'!$N$159:$N$389)</f>
        <v>0</v>
      </c>
      <c r="J18" s="416">
        <f>SUMIF('cth sp'!$M$159:$M$389,B18,'cth sp'!$O$159:$O$389)</f>
        <v>0</v>
      </c>
      <c r="K18" s="416">
        <f t="shared" si="0"/>
        <v>0</v>
      </c>
      <c r="L18" s="416">
        <f t="shared" si="1"/>
        <v>0</v>
      </c>
      <c r="M18" s="416">
        <f t="shared" si="2"/>
        <v>0</v>
      </c>
      <c r="S18" s="553">
        <f t="shared" si="3"/>
        <v>0</v>
      </c>
    </row>
    <row r="19" spans="1:20" x14ac:dyDescent="0.25">
      <c r="A19" s="12">
        <v>10</v>
      </c>
      <c r="B19" s="12" t="s">
        <v>32</v>
      </c>
      <c r="C19" s="8" t="s">
        <v>172</v>
      </c>
      <c r="D19" s="416">
        <v>0</v>
      </c>
      <c r="E19" s="416">
        <f>SUMIF('cth sp'!$M$9:$M$107,B19,'cth sp'!$N$9:$N$107)</f>
        <v>0</v>
      </c>
      <c r="F19" s="416">
        <f>SUMIF('cth sp'!$M$9:$M$107,B19,'cth sp'!$O$9:$O$107)</f>
        <v>0</v>
      </c>
      <c r="G19" s="416">
        <f>SUMIF('cth sp'!$M$114:$M$158,B19,'cth sp'!$N$114:$N$158)</f>
        <v>0</v>
      </c>
      <c r="H19" s="416">
        <f>SUMIF('cth sp'!$M$114:$M$158,B19,'cth sp'!$O$114:$O$158)</f>
        <v>0</v>
      </c>
      <c r="I19" s="416">
        <f>SUMIF('cth sp'!$M$159:$M$389,B19,'cth sp'!$N$159:$N$389)</f>
        <v>0</v>
      </c>
      <c r="J19" s="416">
        <f>SUMIF('cth sp'!$M$159:$M$389,B19,'cth sp'!$O$159:$O$389)</f>
        <v>0</v>
      </c>
      <c r="K19" s="416">
        <f t="shared" si="0"/>
        <v>0</v>
      </c>
      <c r="L19" s="416">
        <f t="shared" si="1"/>
        <v>0</v>
      </c>
      <c r="M19" s="416">
        <f t="shared" si="2"/>
        <v>0</v>
      </c>
      <c r="O19" s="553">
        <v>835000</v>
      </c>
      <c r="S19" s="553">
        <f>SUM(O19:R19)</f>
        <v>835000</v>
      </c>
    </row>
    <row r="20" spans="1:20" x14ac:dyDescent="0.25">
      <c r="A20" s="12">
        <v>11</v>
      </c>
      <c r="B20" s="12" t="s">
        <v>33</v>
      </c>
      <c r="C20" s="8" t="s">
        <v>666</v>
      </c>
      <c r="D20" s="416">
        <v>1000000</v>
      </c>
      <c r="E20" s="416">
        <f>SUMIF('cth sp'!$M$9:$M$107,B20,'cth sp'!$N$9:$N$107)</f>
        <v>0</v>
      </c>
      <c r="F20" s="416">
        <f>SUMIF('cth sp'!$M$9:$M$107,B20,'cth sp'!$O$9:$O$107)</f>
        <v>0</v>
      </c>
      <c r="G20" s="416">
        <f>SUMIF('cth sp'!$M$114:$M$158,B20,'cth sp'!$N$114:$N$158)</f>
        <v>0</v>
      </c>
      <c r="H20" s="416">
        <f>SUMIF('cth sp'!$M$114:$M$158,B20,'cth sp'!$O$114:$O$158)</f>
        <v>0</v>
      </c>
      <c r="I20" s="416">
        <f>SUMIF('cth sp'!$M$159:$M$389,B20,'cth sp'!$N$159:$N$389)</f>
        <v>0</v>
      </c>
      <c r="J20" s="416">
        <f>SUMIF('cth sp'!$M$159:$M$389,B20,'cth sp'!$O$159:$O$389)</f>
        <v>0</v>
      </c>
      <c r="K20" s="416">
        <f t="shared" si="0"/>
        <v>0</v>
      </c>
      <c r="L20" s="416">
        <f t="shared" si="1"/>
        <v>0</v>
      </c>
      <c r="M20" s="416">
        <f t="shared" si="2"/>
        <v>1000000</v>
      </c>
      <c r="P20" s="553">
        <v>90000</v>
      </c>
      <c r="Q20" s="553">
        <v>20000</v>
      </c>
      <c r="R20" s="553">
        <v>30000</v>
      </c>
      <c r="S20" s="553">
        <f t="shared" si="3"/>
        <v>140000</v>
      </c>
      <c r="T20" s="553">
        <v>140000</v>
      </c>
    </row>
    <row r="21" spans="1:20" x14ac:dyDescent="0.25">
      <c r="A21" s="12">
        <v>12</v>
      </c>
      <c r="B21" s="12" t="s">
        <v>34</v>
      </c>
      <c r="C21" s="8" t="s">
        <v>174</v>
      </c>
      <c r="D21" s="416">
        <v>1000000</v>
      </c>
      <c r="E21" s="416">
        <f>SUMIF('cth sp'!$M$9:$M$107,B21,'cth sp'!$N$9:$N$107)</f>
        <v>0</v>
      </c>
      <c r="F21" s="416">
        <f>SUMIF('cth sp'!$M$9:$M$107,B21,'cth sp'!$O$9:$O$107)</f>
        <v>0</v>
      </c>
      <c r="G21" s="416">
        <f>SUMIF('cth sp'!$M$114:$M$158,B21,'cth sp'!$N$114:$N$158)</f>
        <v>0</v>
      </c>
      <c r="H21" s="416">
        <f>SUMIF('cth sp'!$M$114:$M$158,B21,'cth sp'!$O$114:$O$158)</f>
        <v>0</v>
      </c>
      <c r="I21" s="416">
        <f>SUMIF('cth sp'!$M$159:$M$389,B21,'cth sp'!$N$159:$N$389)</f>
        <v>0</v>
      </c>
      <c r="J21" s="416">
        <f>SUMIF('cth sp'!$M$159:$M$389,B21,'cth sp'!$O$159:$O$389)</f>
        <v>0</v>
      </c>
      <c r="K21" s="416">
        <f t="shared" si="0"/>
        <v>0</v>
      </c>
      <c r="L21" s="416">
        <f t="shared" si="1"/>
        <v>0</v>
      </c>
      <c r="M21" s="416">
        <f t="shared" si="2"/>
        <v>1000000</v>
      </c>
      <c r="P21" s="553">
        <v>90000</v>
      </c>
      <c r="Q21" s="553">
        <v>20000</v>
      </c>
      <c r="R21" s="553">
        <v>30000</v>
      </c>
      <c r="S21" s="553">
        <f t="shared" si="3"/>
        <v>140000</v>
      </c>
      <c r="T21" s="553">
        <v>140000</v>
      </c>
    </row>
    <row r="22" spans="1:20" x14ac:dyDescent="0.25">
      <c r="A22" s="12">
        <v>13</v>
      </c>
      <c r="B22" s="12" t="s">
        <v>35</v>
      </c>
      <c r="C22" s="8" t="s">
        <v>175</v>
      </c>
      <c r="D22" s="416">
        <v>0</v>
      </c>
      <c r="E22" s="416">
        <f>SUMIF('cth sp'!$M$9:$M$107,B22,'cth sp'!$N$9:$N$107)</f>
        <v>0</v>
      </c>
      <c r="F22" s="416">
        <f>SUMIF('cth sp'!$M$9:$M$107,B22,'cth sp'!$O$9:$O$107)</f>
        <v>0</v>
      </c>
      <c r="G22" s="416">
        <f>SUMIF('cth sp'!$M$114:$M$158,B22,'cth sp'!$N$114:$N$158)</f>
        <v>0</v>
      </c>
      <c r="H22" s="416">
        <f>SUMIF('cth sp'!$M$114:$M$158,B22,'cth sp'!$O$114:$O$158)</f>
        <v>0</v>
      </c>
      <c r="I22" s="416">
        <f>SUMIF('cth sp'!$M$159:$M$389,B22,'cth sp'!$N$159:$N$389)</f>
        <v>0</v>
      </c>
      <c r="J22" s="416">
        <f>SUMIF('cth sp'!$M$159:$M$389,B22,'cth sp'!$O$159:$O$389)</f>
        <v>0</v>
      </c>
      <c r="K22" s="416">
        <f t="shared" si="0"/>
        <v>0</v>
      </c>
      <c r="L22" s="416">
        <f t="shared" si="1"/>
        <v>0</v>
      </c>
      <c r="M22" s="416">
        <f t="shared" si="2"/>
        <v>0</v>
      </c>
      <c r="S22" s="553">
        <f t="shared" si="3"/>
        <v>0</v>
      </c>
    </row>
    <row r="23" spans="1:20" x14ac:dyDescent="0.25">
      <c r="A23" s="12">
        <v>14</v>
      </c>
      <c r="B23" s="12" t="s">
        <v>36</v>
      </c>
      <c r="C23" s="8" t="s">
        <v>176</v>
      </c>
      <c r="D23" s="416">
        <v>1000000</v>
      </c>
      <c r="E23" s="416">
        <f>SUMIF('cth sp'!$M$9:$M$107,B23,'cth sp'!$N$9:$N$107)</f>
        <v>0</v>
      </c>
      <c r="F23" s="416">
        <f>SUMIF('cth sp'!$M$9:$M$107,B23,'cth sp'!$O$9:$O$107)</f>
        <v>0</v>
      </c>
      <c r="G23" s="416">
        <f>SUMIF('cth sp'!$M$114:$M$158,B23,'cth sp'!$N$114:$N$158)</f>
        <v>0</v>
      </c>
      <c r="H23" s="416">
        <f>SUMIF('cth sp'!$M$114:$M$158,B23,'cth sp'!$O$114:$O$158)</f>
        <v>0</v>
      </c>
      <c r="I23" s="416">
        <f>SUMIF('cth sp'!$M$159:$M$389,B23,'cth sp'!$N$159:$N$389)</f>
        <v>0</v>
      </c>
      <c r="J23" s="416">
        <f>SUMIF('cth sp'!$M$159:$M$389,B23,'cth sp'!$O$159:$O$389)</f>
        <v>0</v>
      </c>
      <c r="K23" s="416">
        <f t="shared" si="0"/>
        <v>0</v>
      </c>
      <c r="L23" s="416">
        <f t="shared" si="1"/>
        <v>0</v>
      </c>
      <c r="M23" s="416">
        <f t="shared" si="2"/>
        <v>1000000</v>
      </c>
      <c r="S23" s="553">
        <f t="shared" si="3"/>
        <v>0</v>
      </c>
    </row>
    <row r="24" spans="1:20" x14ac:dyDescent="0.25">
      <c r="A24" s="12">
        <v>15</v>
      </c>
      <c r="B24" s="12" t="s">
        <v>37</v>
      </c>
      <c r="C24" s="8" t="s">
        <v>177</v>
      </c>
      <c r="D24" s="416">
        <v>1000000</v>
      </c>
      <c r="E24" s="416">
        <f>SUMIF('cth sp'!$M$9:$M$107,B24,'cth sp'!$N$9:$N$107)</f>
        <v>1000000</v>
      </c>
      <c r="F24" s="416">
        <f>SUMIF('cth sp'!$M$9:$M$107,B24,'cth sp'!$O$9:$O$107)</f>
        <v>1000000</v>
      </c>
      <c r="G24" s="416">
        <f>SUMIF('cth sp'!$M$114:$M$158,B24,'cth sp'!$N$114:$N$158)</f>
        <v>0</v>
      </c>
      <c r="H24" s="416">
        <f>SUMIF('cth sp'!$M$114:$M$158,B24,'cth sp'!$O$114:$O$158)</f>
        <v>0</v>
      </c>
      <c r="I24" s="416">
        <f>SUMIF('cth sp'!$M$159:$M$389,B24,'cth sp'!$N$159:$N$389)</f>
        <v>0</v>
      </c>
      <c r="J24" s="416">
        <f>SUMIF('cth sp'!$M$159:$M$389,B24,'cth sp'!$O$159:$O$389)</f>
        <v>0</v>
      </c>
      <c r="K24" s="416">
        <f t="shared" si="0"/>
        <v>1000000</v>
      </c>
      <c r="L24" s="416">
        <f t="shared" si="1"/>
        <v>1000000</v>
      </c>
      <c r="M24" s="416">
        <f t="shared" si="2"/>
        <v>1000000</v>
      </c>
      <c r="S24" s="553">
        <f t="shared" si="3"/>
        <v>0</v>
      </c>
    </row>
    <row r="25" spans="1:20" x14ac:dyDescent="0.25">
      <c r="A25" s="12">
        <v>16</v>
      </c>
      <c r="B25" s="12" t="s">
        <v>38</v>
      </c>
      <c r="C25" s="8" t="s">
        <v>178</v>
      </c>
      <c r="D25" s="416">
        <v>0</v>
      </c>
      <c r="E25" s="416">
        <f>SUMIF('cth sp'!$M$9:$M$107,B25,'cth sp'!$N$9:$N$107)</f>
        <v>0</v>
      </c>
      <c r="F25" s="416">
        <f>SUMIF('cth sp'!$M$9:$M$107,B25,'cth sp'!$O$9:$O$107)</f>
        <v>0</v>
      </c>
      <c r="G25" s="416">
        <f>SUMIF('cth sp'!$M$114:$M$158,B25,'cth sp'!$N$114:$N$158)</f>
        <v>0</v>
      </c>
      <c r="H25" s="416">
        <f>SUMIF('cth sp'!$M$114:$M$158,B25,'cth sp'!$O$114:$O$158)</f>
        <v>0</v>
      </c>
      <c r="I25" s="416">
        <f>SUMIF('cth sp'!$M$159:$M$389,B25,'cth sp'!$N$159:$N$389)</f>
        <v>0</v>
      </c>
      <c r="J25" s="416">
        <f>SUMIF('cth sp'!$M$159:$M$389,B25,'cth sp'!$O$159:$O$389)</f>
        <v>0</v>
      </c>
      <c r="K25" s="416">
        <f t="shared" si="0"/>
        <v>0</v>
      </c>
      <c r="L25" s="416">
        <f t="shared" si="1"/>
        <v>0</v>
      </c>
      <c r="M25" s="416">
        <f t="shared" si="2"/>
        <v>0</v>
      </c>
      <c r="P25" s="553">
        <v>90000</v>
      </c>
      <c r="Q25" s="553">
        <v>20000</v>
      </c>
      <c r="R25" s="553">
        <v>30000</v>
      </c>
      <c r="S25" s="553">
        <f t="shared" si="3"/>
        <v>140000</v>
      </c>
      <c r="T25" s="553">
        <v>140000</v>
      </c>
    </row>
    <row r="26" spans="1:20" x14ac:dyDescent="0.25">
      <c r="A26" s="12">
        <v>17</v>
      </c>
      <c r="B26" s="12" t="s">
        <v>39</v>
      </c>
      <c r="C26" s="8" t="s">
        <v>179</v>
      </c>
      <c r="D26" s="416">
        <v>1000000</v>
      </c>
      <c r="E26" s="416">
        <f>SUMIF('cth sp'!$M$9:$M$107,B26,'cth sp'!$N$9:$N$107)</f>
        <v>0</v>
      </c>
      <c r="F26" s="416">
        <f>SUMIF('cth sp'!$M$9:$M$107,B26,'cth sp'!$O$9:$O$107)</f>
        <v>0</v>
      </c>
      <c r="G26" s="416">
        <f>SUMIF('cth sp'!$M$114:$M$158,B26,'cth sp'!$N$114:$N$158)</f>
        <v>0</v>
      </c>
      <c r="H26" s="416">
        <f>SUMIF('cth sp'!$M$114:$M$158,B26,'cth sp'!$O$114:$O$158)</f>
        <v>0</v>
      </c>
      <c r="I26" s="416">
        <f>SUMIF('cth sp'!$M$159:$M$389,B26,'cth sp'!$N$159:$N$389)</f>
        <v>0</v>
      </c>
      <c r="J26" s="416">
        <f>SUMIF('cth sp'!$M$159:$M$389,B26,'cth sp'!$O$159:$O$389)</f>
        <v>0</v>
      </c>
      <c r="K26" s="416">
        <f t="shared" si="0"/>
        <v>0</v>
      </c>
      <c r="L26" s="416">
        <f t="shared" si="1"/>
        <v>0</v>
      </c>
      <c r="M26" s="416">
        <f t="shared" si="2"/>
        <v>1000000</v>
      </c>
      <c r="S26" s="553">
        <f t="shared" si="3"/>
        <v>0</v>
      </c>
    </row>
    <row r="27" spans="1:20" x14ac:dyDescent="0.25">
      <c r="A27" s="12">
        <v>18</v>
      </c>
      <c r="B27" s="12" t="s">
        <v>40</v>
      </c>
      <c r="C27" s="8" t="s">
        <v>180</v>
      </c>
      <c r="D27" s="416">
        <v>1000000</v>
      </c>
      <c r="E27" s="416">
        <f>SUMIF('cth sp'!$M$9:$M$107,B27,'cth sp'!$N$9:$N$107)</f>
        <v>0</v>
      </c>
      <c r="F27" s="416">
        <f>SUMIF('cth sp'!$M$9:$M$107,B27,'cth sp'!$O$9:$O$107)</f>
        <v>0</v>
      </c>
      <c r="G27" s="416">
        <f>SUMIF('cth sp'!$M$114:$M$158,B27,'cth sp'!$N$114:$N$158)</f>
        <v>0</v>
      </c>
      <c r="H27" s="416">
        <f>SUMIF('cth sp'!$M$114:$M$158,B27,'cth sp'!$O$114:$O$158)</f>
        <v>0</v>
      </c>
      <c r="I27" s="416">
        <f>SUMIF('cth sp'!$M$159:$M$389,B27,'cth sp'!$N$159:$N$389)</f>
        <v>0</v>
      </c>
      <c r="J27" s="416">
        <f>SUMIF('cth sp'!$M$159:$M$389,B27,'cth sp'!$O$159:$O$389)</f>
        <v>0</v>
      </c>
      <c r="K27" s="416">
        <f t="shared" si="0"/>
        <v>0</v>
      </c>
      <c r="L27" s="416">
        <f t="shared" si="1"/>
        <v>0</v>
      </c>
      <c r="M27" s="416">
        <f t="shared" si="2"/>
        <v>1000000</v>
      </c>
      <c r="P27" s="553">
        <v>90000</v>
      </c>
      <c r="Q27" s="553">
        <v>20000</v>
      </c>
      <c r="R27" s="553">
        <v>30000</v>
      </c>
      <c r="S27" s="553">
        <f t="shared" si="3"/>
        <v>140000</v>
      </c>
      <c r="T27" s="553">
        <v>140000</v>
      </c>
    </row>
    <row r="28" spans="1:20" x14ac:dyDescent="0.25">
      <c r="A28" s="12">
        <v>19</v>
      </c>
      <c r="B28" s="12" t="s">
        <v>41</v>
      </c>
      <c r="C28" s="8" t="s">
        <v>181</v>
      </c>
      <c r="D28" s="416">
        <v>0</v>
      </c>
      <c r="E28" s="416">
        <f>SUMIF('cth sp'!$M$9:$M$107,B28,'cth sp'!$N$9:$N$107)</f>
        <v>0</v>
      </c>
      <c r="F28" s="416">
        <f>SUMIF('cth sp'!$M$9:$M$107,B28,'cth sp'!$O$9:$O$107)</f>
        <v>0</v>
      </c>
      <c r="G28" s="416">
        <f>SUMIF('cth sp'!$M$114:$M$158,B28,'cth sp'!$N$114:$N$158)</f>
        <v>0</v>
      </c>
      <c r="H28" s="416">
        <f>SUMIF('cth sp'!$M$114:$M$158,B28,'cth sp'!$O$114:$O$158)</f>
        <v>0</v>
      </c>
      <c r="I28" s="416">
        <f>SUMIF('cth sp'!$M$159:$M$389,B28,'cth sp'!$N$159:$N$389)</f>
        <v>0</v>
      </c>
      <c r="J28" s="416">
        <f>SUMIF('cth sp'!$M$159:$M$389,B28,'cth sp'!$O$159:$O$389)</f>
        <v>0</v>
      </c>
      <c r="K28" s="416">
        <f t="shared" si="0"/>
        <v>0</v>
      </c>
      <c r="L28" s="416">
        <f t="shared" si="1"/>
        <v>0</v>
      </c>
      <c r="M28" s="416">
        <f t="shared" si="2"/>
        <v>0</v>
      </c>
      <c r="S28" s="553">
        <f t="shared" si="3"/>
        <v>0</v>
      </c>
    </row>
    <row r="29" spans="1:20" x14ac:dyDescent="0.25">
      <c r="A29" s="12">
        <v>20</v>
      </c>
      <c r="B29" s="12" t="s">
        <v>42</v>
      </c>
      <c r="C29" s="8" t="s">
        <v>182</v>
      </c>
      <c r="D29" s="416">
        <v>1000000</v>
      </c>
      <c r="E29" s="416">
        <f>SUMIF('cth sp'!$M$9:$M$107,B29,'cth sp'!$N$9:$N$107)</f>
        <v>1000000</v>
      </c>
      <c r="F29" s="416">
        <f>SUMIF('cth sp'!$M$9:$M$107,B29,'cth sp'!$O$9:$O$107)</f>
        <v>1000000</v>
      </c>
      <c r="G29" s="416">
        <f>SUMIF('cth sp'!$M$114:$M$158,B29,'cth sp'!$N$114:$N$158)</f>
        <v>0</v>
      </c>
      <c r="H29" s="416">
        <f>SUMIF('cth sp'!$M$114:$M$158,B29,'cth sp'!$O$114:$O$158)</f>
        <v>0</v>
      </c>
      <c r="I29" s="416">
        <f>SUMIF('cth sp'!$M$159:$M$389,B29,'cth sp'!$N$159:$N$389)</f>
        <v>0</v>
      </c>
      <c r="J29" s="416">
        <f>SUMIF('cth sp'!$M$159:$M$389,B29,'cth sp'!$O$159:$O$389)</f>
        <v>0</v>
      </c>
      <c r="K29" s="416">
        <f t="shared" si="0"/>
        <v>1000000</v>
      </c>
      <c r="L29" s="416">
        <f t="shared" si="1"/>
        <v>1000000</v>
      </c>
      <c r="M29" s="416">
        <f t="shared" si="2"/>
        <v>1000000</v>
      </c>
      <c r="P29" s="553">
        <v>90000</v>
      </c>
      <c r="Q29" s="553">
        <v>20000</v>
      </c>
      <c r="R29" s="553">
        <v>30000</v>
      </c>
      <c r="S29" s="553">
        <f t="shared" si="3"/>
        <v>140000</v>
      </c>
    </row>
    <row r="30" spans="1:20" x14ac:dyDescent="0.25">
      <c r="A30" s="12">
        <v>21</v>
      </c>
      <c r="B30" s="12" t="s">
        <v>43</v>
      </c>
      <c r="C30" s="8" t="s">
        <v>183</v>
      </c>
      <c r="D30" s="416">
        <v>1000000</v>
      </c>
      <c r="E30" s="416">
        <f>SUMIF('cth sp'!$M$9:$M$107,B30,'cth sp'!$N$9:$N$107)</f>
        <v>0</v>
      </c>
      <c r="F30" s="416">
        <f>SUMIF('cth sp'!$M$9:$M$107,B30,'cth sp'!$O$9:$O$107)</f>
        <v>0</v>
      </c>
      <c r="G30" s="416">
        <f>SUMIF('cth sp'!$M$114:$M$158,B30,'cth sp'!$N$114:$N$158)</f>
        <v>0</v>
      </c>
      <c r="H30" s="416">
        <f>SUMIF('cth sp'!$M$114:$M$158,B30,'cth sp'!$O$114:$O$158)</f>
        <v>0</v>
      </c>
      <c r="I30" s="416">
        <f>SUMIF('cth sp'!$M$159:$M$389,B30,'cth sp'!$N$159:$N$389)</f>
        <v>0</v>
      </c>
      <c r="J30" s="416">
        <f>SUMIF('cth sp'!$M$159:$M$389,B30,'cth sp'!$O$159:$O$389)</f>
        <v>0</v>
      </c>
      <c r="K30" s="416">
        <f t="shared" si="0"/>
        <v>0</v>
      </c>
      <c r="L30" s="416">
        <f t="shared" si="1"/>
        <v>0</v>
      </c>
      <c r="M30" s="416">
        <f t="shared" si="2"/>
        <v>1000000</v>
      </c>
      <c r="P30" s="553">
        <v>90000</v>
      </c>
      <c r="Q30" s="553">
        <v>20000</v>
      </c>
      <c r="R30" s="553">
        <v>30000</v>
      </c>
      <c r="S30" s="553">
        <f t="shared" si="3"/>
        <v>140000</v>
      </c>
    </row>
    <row r="31" spans="1:20" x14ac:dyDescent="0.25">
      <c r="A31" s="12">
        <v>22</v>
      </c>
      <c r="B31" s="12" t="s">
        <v>44</v>
      </c>
      <c r="C31" s="8" t="s">
        <v>184</v>
      </c>
      <c r="D31" s="416">
        <v>2000000</v>
      </c>
      <c r="E31" s="416">
        <f>SUMIF('cth sp'!$M$9:$M$107,B31,'cth sp'!$N$9:$N$107)</f>
        <v>1000000</v>
      </c>
      <c r="F31" s="416">
        <f>SUMIF('cth sp'!$M$9:$M$107,B31,'cth sp'!$O$9:$O$107)</f>
        <v>1000000</v>
      </c>
      <c r="G31" s="416">
        <f>SUMIF('cth sp'!$M$114:$M$158,B31,'cth sp'!$N$114:$N$158)</f>
        <v>0</v>
      </c>
      <c r="H31" s="416">
        <f>SUMIF('cth sp'!$M$114:$M$158,B31,'cth sp'!$O$114:$O$158)</f>
        <v>0</v>
      </c>
      <c r="I31" s="416">
        <f>SUMIF('cth sp'!$M$159:$M$389,B31,'cth sp'!$N$159:$N$389)</f>
        <v>0</v>
      </c>
      <c r="J31" s="416">
        <f>SUMIF('cth sp'!$M$159:$M$389,B31,'cth sp'!$O$159:$O$389)</f>
        <v>0</v>
      </c>
      <c r="K31" s="416">
        <f t="shared" si="0"/>
        <v>1000000</v>
      </c>
      <c r="L31" s="416">
        <f t="shared" si="1"/>
        <v>1000000</v>
      </c>
      <c r="M31" s="416">
        <f t="shared" si="2"/>
        <v>2000000</v>
      </c>
      <c r="P31" s="553">
        <v>90000</v>
      </c>
      <c r="Q31" s="553">
        <v>20000</v>
      </c>
      <c r="R31" s="553">
        <v>30000</v>
      </c>
      <c r="S31" s="553">
        <f t="shared" si="3"/>
        <v>140000</v>
      </c>
      <c r="T31" s="553">
        <v>140000</v>
      </c>
    </row>
    <row r="32" spans="1:20" x14ac:dyDescent="0.25">
      <c r="A32" s="12">
        <v>23</v>
      </c>
      <c r="B32" s="12" t="s">
        <v>45</v>
      </c>
      <c r="C32" s="8" t="s">
        <v>185</v>
      </c>
      <c r="D32" s="416">
        <v>1000000</v>
      </c>
      <c r="E32" s="416">
        <f>SUMIF('cth sp'!$M$9:$M$107,B32,'cth sp'!$N$9:$N$107)</f>
        <v>0</v>
      </c>
      <c r="F32" s="416">
        <f>SUMIF('cth sp'!$M$9:$M$107,B32,'cth sp'!$O$9:$O$107)</f>
        <v>0</v>
      </c>
      <c r="G32" s="416">
        <f>SUMIF('cth sp'!$M$114:$M$158,B32,'cth sp'!$N$114:$N$158)</f>
        <v>0</v>
      </c>
      <c r="H32" s="416">
        <f>SUMIF('cth sp'!$M$114:$M$158,B32,'cth sp'!$O$114:$O$158)</f>
        <v>0</v>
      </c>
      <c r="I32" s="416">
        <f>SUMIF('cth sp'!$M$159:$M$389,B32,'cth sp'!$N$159:$N$389)</f>
        <v>0</v>
      </c>
      <c r="J32" s="416">
        <f>SUMIF('cth sp'!$M$159:$M$389,B32,'cth sp'!$O$159:$O$389)</f>
        <v>0</v>
      </c>
      <c r="K32" s="416">
        <f t="shared" si="0"/>
        <v>0</v>
      </c>
      <c r="L32" s="416">
        <f t="shared" si="1"/>
        <v>0</v>
      </c>
      <c r="M32" s="416">
        <f t="shared" si="2"/>
        <v>1000000</v>
      </c>
      <c r="P32" s="553">
        <v>90000</v>
      </c>
      <c r="Q32" s="553">
        <v>20000</v>
      </c>
      <c r="R32" s="553">
        <v>30000</v>
      </c>
      <c r="S32" s="553">
        <f t="shared" si="3"/>
        <v>140000</v>
      </c>
      <c r="T32" s="553">
        <v>140000</v>
      </c>
    </row>
    <row r="33" spans="1:20" x14ac:dyDescent="0.25">
      <c r="A33" s="12">
        <v>24</v>
      </c>
      <c r="B33" s="12" t="s">
        <v>46</v>
      </c>
      <c r="C33" s="8" t="s">
        <v>186</v>
      </c>
      <c r="D33" s="416">
        <v>1000000</v>
      </c>
      <c r="E33" s="416">
        <f>SUMIF('cth sp'!$M$9:$M$107,B33,'cth sp'!$N$9:$N$107)</f>
        <v>1000000</v>
      </c>
      <c r="F33" s="416">
        <f>SUMIF('cth sp'!$M$9:$M$107,B33,'cth sp'!$O$9:$O$107)</f>
        <v>1000000</v>
      </c>
      <c r="G33" s="416">
        <f>SUMIF('cth sp'!$M$114:$M$158,B33,'cth sp'!$N$114:$N$158)</f>
        <v>0</v>
      </c>
      <c r="H33" s="416">
        <f>SUMIF('cth sp'!$M$114:$M$158,B33,'cth sp'!$O$114:$O$158)</f>
        <v>0</v>
      </c>
      <c r="I33" s="416">
        <f>SUMIF('cth sp'!$M$159:$M$389,B33,'cth sp'!$N$159:$N$389)</f>
        <v>0</v>
      </c>
      <c r="J33" s="416">
        <f>SUMIF('cth sp'!$M$159:$M$389,B33,'cth sp'!$O$159:$O$389)</f>
        <v>0</v>
      </c>
      <c r="K33" s="416">
        <f t="shared" si="0"/>
        <v>1000000</v>
      </c>
      <c r="L33" s="416">
        <f t="shared" si="1"/>
        <v>1000000</v>
      </c>
      <c r="M33" s="416">
        <f t="shared" si="2"/>
        <v>1000000</v>
      </c>
      <c r="S33" s="553">
        <f t="shared" si="3"/>
        <v>0</v>
      </c>
    </row>
    <row r="34" spans="1:20" x14ac:dyDescent="0.25">
      <c r="A34" s="12">
        <v>25</v>
      </c>
      <c r="B34" s="12" t="s">
        <v>47</v>
      </c>
      <c r="C34" s="8" t="s">
        <v>187</v>
      </c>
      <c r="D34" s="416">
        <v>1000000</v>
      </c>
      <c r="E34" s="416">
        <f>SUMIF('cth sp'!$M$9:$M$107,B34,'cth sp'!$N$9:$N$107)</f>
        <v>1000000</v>
      </c>
      <c r="F34" s="416">
        <f>SUMIF('cth sp'!$M$9:$M$107,B34,'cth sp'!$O$9:$O$107)</f>
        <v>1000000</v>
      </c>
      <c r="G34" s="416">
        <f>SUMIF('cth sp'!$M$114:$M$158,B34,'cth sp'!$N$114:$N$158)</f>
        <v>0</v>
      </c>
      <c r="H34" s="416">
        <f>SUMIF('cth sp'!$M$114:$M$158,B34,'cth sp'!$O$114:$O$158)</f>
        <v>0</v>
      </c>
      <c r="I34" s="416">
        <f>SUMIF('cth sp'!$M$159:$M$389,B34,'cth sp'!$N$159:$N$389)</f>
        <v>0</v>
      </c>
      <c r="J34" s="416">
        <f>SUMIF('cth sp'!$M$159:$M$389,B34,'cth sp'!$O$159:$O$389)</f>
        <v>0</v>
      </c>
      <c r="K34" s="416">
        <f t="shared" si="0"/>
        <v>1000000</v>
      </c>
      <c r="L34" s="416">
        <f t="shared" si="1"/>
        <v>1000000</v>
      </c>
      <c r="M34" s="416">
        <f t="shared" si="2"/>
        <v>1000000</v>
      </c>
      <c r="P34" s="553">
        <v>90000</v>
      </c>
      <c r="Q34" s="553">
        <v>20000</v>
      </c>
      <c r="R34" s="553">
        <v>30000</v>
      </c>
      <c r="S34" s="553">
        <f t="shared" si="3"/>
        <v>140000</v>
      </c>
      <c r="T34" s="553">
        <v>140000</v>
      </c>
    </row>
    <row r="35" spans="1:20" x14ac:dyDescent="0.25">
      <c r="A35" s="12">
        <v>26</v>
      </c>
      <c r="B35" s="12" t="s">
        <v>48</v>
      </c>
      <c r="C35" s="8" t="s">
        <v>188</v>
      </c>
      <c r="D35" s="416">
        <v>1000000</v>
      </c>
      <c r="E35" s="416">
        <f>SUMIF('cth sp'!$M$9:$M$107,B35,'cth sp'!$N$9:$N$107)</f>
        <v>0</v>
      </c>
      <c r="F35" s="416">
        <f>SUMIF('cth sp'!$M$9:$M$107,B35,'cth sp'!$O$9:$O$107)</f>
        <v>0</v>
      </c>
      <c r="G35" s="416">
        <f>SUMIF('cth sp'!$M$114:$M$158,B35,'cth sp'!$N$114:$N$158)</f>
        <v>0</v>
      </c>
      <c r="H35" s="416">
        <f>SUMIF('cth sp'!$M$114:$M$158,B35,'cth sp'!$O$114:$O$158)</f>
        <v>0</v>
      </c>
      <c r="I35" s="416">
        <f>SUMIF('cth sp'!$M$159:$M$389,B35,'cth sp'!$N$159:$N$389)</f>
        <v>0</v>
      </c>
      <c r="J35" s="416">
        <f>SUMIF('cth sp'!$M$159:$M$389,B35,'cth sp'!$O$159:$O$389)</f>
        <v>0</v>
      </c>
      <c r="K35" s="416">
        <f t="shared" si="0"/>
        <v>0</v>
      </c>
      <c r="L35" s="416">
        <f t="shared" si="1"/>
        <v>0</v>
      </c>
      <c r="M35" s="416">
        <f t="shared" si="2"/>
        <v>1000000</v>
      </c>
      <c r="S35" s="553">
        <f t="shared" si="3"/>
        <v>0</v>
      </c>
    </row>
    <row r="36" spans="1:20" x14ac:dyDescent="0.25">
      <c r="A36" s="12">
        <v>27</v>
      </c>
      <c r="B36" s="12" t="s">
        <v>49</v>
      </c>
      <c r="C36" s="8" t="s">
        <v>189</v>
      </c>
      <c r="D36" s="416">
        <v>1000000</v>
      </c>
      <c r="E36" s="416">
        <f>SUMIF('cth sp'!$M$9:$M$107,B36,'cth sp'!$N$9:$N$107)</f>
        <v>1000000</v>
      </c>
      <c r="F36" s="416">
        <f>SUMIF('cth sp'!$M$9:$M$107,B36,'cth sp'!$O$9:$O$107)</f>
        <v>1000000</v>
      </c>
      <c r="G36" s="416">
        <f>SUMIF('cth sp'!$M$114:$M$158,B36,'cth sp'!$N$114:$N$158)</f>
        <v>1000000</v>
      </c>
      <c r="H36" s="416">
        <f>SUMIF('cth sp'!$M$114:$M$158,B36,'cth sp'!$O$114:$O$158)</f>
        <v>1000000</v>
      </c>
      <c r="I36" s="416">
        <f>SUMIF('cth sp'!$M$159:$M$389,B36,'cth sp'!$N$159:$N$389)</f>
        <v>0</v>
      </c>
      <c r="J36" s="416">
        <f>SUMIF('cth sp'!$M$159:$M$389,B36,'cth sp'!$O$159:$O$389)</f>
        <v>0</v>
      </c>
      <c r="K36" s="416">
        <f t="shared" si="0"/>
        <v>2000000</v>
      </c>
      <c r="L36" s="416">
        <f t="shared" si="1"/>
        <v>2000000</v>
      </c>
      <c r="M36" s="416">
        <f t="shared" si="2"/>
        <v>1000000</v>
      </c>
      <c r="P36" s="553">
        <v>90000</v>
      </c>
      <c r="Q36" s="553">
        <v>20000</v>
      </c>
      <c r="R36" s="553">
        <v>30000</v>
      </c>
      <c r="S36" s="553">
        <f t="shared" si="3"/>
        <v>140000</v>
      </c>
      <c r="T36" s="553">
        <v>140000</v>
      </c>
    </row>
    <row r="37" spans="1:20" x14ac:dyDescent="0.25">
      <c r="A37" s="12">
        <v>28</v>
      </c>
      <c r="B37" s="12" t="s">
        <v>50</v>
      </c>
      <c r="C37" s="8" t="s">
        <v>190</v>
      </c>
      <c r="D37" s="416">
        <v>1000000</v>
      </c>
      <c r="E37" s="416">
        <f>SUMIF('cth sp'!$M$9:$M$107,B37,'cth sp'!$N$9:$N$107)</f>
        <v>0</v>
      </c>
      <c r="F37" s="416">
        <f>SUMIF('cth sp'!$M$9:$M$107,B37,'cth sp'!$O$9:$O$107)</f>
        <v>0</v>
      </c>
      <c r="G37" s="416">
        <f>SUMIF('cth sp'!$M$114:$M$158,B37,'cth sp'!$N$114:$N$158)</f>
        <v>0</v>
      </c>
      <c r="H37" s="416">
        <f>SUMIF('cth sp'!$M$114:$M$158,B37,'cth sp'!$O$114:$O$158)</f>
        <v>0</v>
      </c>
      <c r="I37" s="416">
        <f>SUMIF('cth sp'!$M$159:$M$389,B37,'cth sp'!$N$159:$N$389)</f>
        <v>0</v>
      </c>
      <c r="J37" s="416">
        <f>SUMIF('cth sp'!$M$159:$M$389,B37,'cth sp'!$O$159:$O$389)</f>
        <v>0</v>
      </c>
      <c r="K37" s="416">
        <f t="shared" si="0"/>
        <v>0</v>
      </c>
      <c r="L37" s="416">
        <f t="shared" si="1"/>
        <v>0</v>
      </c>
      <c r="M37" s="416">
        <f t="shared" si="2"/>
        <v>1000000</v>
      </c>
      <c r="P37" s="553">
        <v>90000</v>
      </c>
      <c r="Q37" s="553">
        <v>20000</v>
      </c>
      <c r="R37" s="553">
        <v>30000</v>
      </c>
      <c r="S37" s="553">
        <f t="shared" si="3"/>
        <v>140000</v>
      </c>
    </row>
    <row r="38" spans="1:20" x14ac:dyDescent="0.25">
      <c r="A38" s="12">
        <v>29</v>
      </c>
      <c r="B38" s="12" t="s">
        <v>51</v>
      </c>
      <c r="C38" s="8" t="s">
        <v>191</v>
      </c>
      <c r="D38" s="416">
        <v>1000000</v>
      </c>
      <c r="E38" s="416">
        <f>SUMIF('cth sp'!$M$9:$M$107,B38,'cth sp'!$N$9:$N$107)</f>
        <v>0</v>
      </c>
      <c r="F38" s="416">
        <f>SUMIF('cth sp'!$M$9:$M$107,B38,'cth sp'!$O$9:$O$107)</f>
        <v>0</v>
      </c>
      <c r="G38" s="416">
        <f>SUMIF('cth sp'!$M$114:$M$158,B38,'cth sp'!$N$114:$N$158)</f>
        <v>0</v>
      </c>
      <c r="H38" s="416">
        <f>SUMIF('cth sp'!$M$114:$M$158,B38,'cth sp'!$O$114:$O$158)</f>
        <v>0</v>
      </c>
      <c r="I38" s="416">
        <f>SUMIF('cth sp'!$M$159:$M$389,B38,'cth sp'!$N$159:$N$389)</f>
        <v>0</v>
      </c>
      <c r="J38" s="416">
        <f>SUMIF('cth sp'!$M$159:$M$389,B38,'cth sp'!$O$159:$O$389)</f>
        <v>0</v>
      </c>
      <c r="K38" s="416">
        <f t="shared" si="0"/>
        <v>0</v>
      </c>
      <c r="L38" s="416">
        <f t="shared" si="1"/>
        <v>0</v>
      </c>
      <c r="M38" s="416">
        <f t="shared" si="2"/>
        <v>1000000</v>
      </c>
      <c r="S38" s="553">
        <f t="shared" si="3"/>
        <v>0</v>
      </c>
    </row>
    <row r="39" spans="1:20" x14ac:dyDescent="0.25">
      <c r="A39" s="12">
        <v>30</v>
      </c>
      <c r="B39" s="12" t="s">
        <v>52</v>
      </c>
      <c r="C39" s="8" t="s">
        <v>192</v>
      </c>
      <c r="D39" s="416">
        <v>1000000</v>
      </c>
      <c r="E39" s="416">
        <f>SUMIF('cth sp'!$M$9:$M$107,B39,'cth sp'!$N$9:$N$107)</f>
        <v>0</v>
      </c>
      <c r="F39" s="416">
        <f>SUMIF('cth sp'!$M$9:$M$107,B39,'cth sp'!$O$9:$O$107)</f>
        <v>0</v>
      </c>
      <c r="G39" s="416">
        <f>SUMIF('cth sp'!$M$114:$M$158,B39,'cth sp'!$N$114:$N$158)</f>
        <v>0</v>
      </c>
      <c r="H39" s="416">
        <f>SUMIF('cth sp'!$M$114:$M$158,B39,'cth sp'!$O$114:$O$158)</f>
        <v>0</v>
      </c>
      <c r="I39" s="416">
        <f>SUMIF('cth sp'!$M$159:$M$389,B39,'cth sp'!$N$159:$N$389)</f>
        <v>0</v>
      </c>
      <c r="J39" s="416">
        <f>SUMIF('cth sp'!$M$159:$M$389,B39,'cth sp'!$O$159:$O$389)</f>
        <v>0</v>
      </c>
      <c r="K39" s="416">
        <f t="shared" si="0"/>
        <v>0</v>
      </c>
      <c r="L39" s="416">
        <f t="shared" si="1"/>
        <v>0</v>
      </c>
      <c r="M39" s="416">
        <f t="shared" si="2"/>
        <v>1000000</v>
      </c>
      <c r="S39" s="553">
        <f t="shared" si="3"/>
        <v>0</v>
      </c>
    </row>
    <row r="40" spans="1:20" x14ac:dyDescent="0.25">
      <c r="A40" s="12">
        <v>31</v>
      </c>
      <c r="B40" s="12" t="s">
        <v>53</v>
      </c>
      <c r="C40" s="8" t="s">
        <v>193</v>
      </c>
      <c r="D40" s="416">
        <v>1000000</v>
      </c>
      <c r="E40" s="416">
        <f>SUMIF('cth sp'!$M$9:$M$107,B40,'cth sp'!$N$9:$N$107)</f>
        <v>1000000</v>
      </c>
      <c r="F40" s="416">
        <f>SUMIF('cth sp'!$M$9:$M$107,B40,'cth sp'!$O$9:$O$107)</f>
        <v>1000000</v>
      </c>
      <c r="G40" s="416">
        <f>SUMIF('cth sp'!$M$114:$M$158,B40,'cth sp'!$N$114:$N$158)</f>
        <v>0</v>
      </c>
      <c r="H40" s="416">
        <f>SUMIF('cth sp'!$M$114:$M$158,B40,'cth sp'!$O$114:$O$158)</f>
        <v>0</v>
      </c>
      <c r="I40" s="416">
        <f>SUMIF('cth sp'!$M$159:$M$389,B40,'cth sp'!$N$159:$N$389)</f>
        <v>0</v>
      </c>
      <c r="J40" s="416">
        <f>SUMIF('cth sp'!$M$159:$M$389,B40,'cth sp'!$O$159:$O$389)</f>
        <v>0</v>
      </c>
      <c r="K40" s="416">
        <f t="shared" si="0"/>
        <v>1000000</v>
      </c>
      <c r="L40" s="416">
        <f t="shared" si="1"/>
        <v>1000000</v>
      </c>
      <c r="M40" s="416">
        <f t="shared" si="2"/>
        <v>1000000</v>
      </c>
      <c r="S40" s="553">
        <f t="shared" si="3"/>
        <v>0</v>
      </c>
    </row>
    <row r="41" spans="1:20" x14ac:dyDescent="0.25">
      <c r="A41" s="12">
        <v>32</v>
      </c>
      <c r="B41" s="12" t="s">
        <v>54</v>
      </c>
      <c r="C41" s="8" t="s">
        <v>194</v>
      </c>
      <c r="D41" s="416">
        <v>1000000</v>
      </c>
      <c r="E41" s="416">
        <f>SUMIF('cth sp'!$M$9:$M$107,B41,'cth sp'!$N$9:$N$107)</f>
        <v>0</v>
      </c>
      <c r="F41" s="416">
        <f>SUMIF('cth sp'!$M$9:$M$107,B41,'cth sp'!$O$9:$O$107)</f>
        <v>0</v>
      </c>
      <c r="G41" s="416">
        <f>SUMIF('cth sp'!$M$114:$M$158,B41,'cth sp'!$N$114:$N$158)</f>
        <v>0</v>
      </c>
      <c r="H41" s="416">
        <f>SUMIF('cth sp'!$M$114:$M$158,B41,'cth sp'!$O$114:$O$158)</f>
        <v>0</v>
      </c>
      <c r="I41" s="416">
        <f>SUMIF('cth sp'!$M$159:$M$389,B41,'cth sp'!$N$159:$N$389)</f>
        <v>0</v>
      </c>
      <c r="J41" s="416">
        <f>SUMIF('cth sp'!$M$159:$M$389,B41,'cth sp'!$O$159:$O$389)</f>
        <v>0</v>
      </c>
      <c r="K41" s="416">
        <f t="shared" ref="K41:K72" si="4">E41+G41+I41</f>
        <v>0</v>
      </c>
      <c r="L41" s="416">
        <f t="shared" ref="L41:L72" si="5">F41+H41+J41</f>
        <v>0</v>
      </c>
      <c r="M41" s="416">
        <f t="shared" ref="M41:M72" si="6">D41+K41-L41</f>
        <v>1000000</v>
      </c>
      <c r="P41" s="553">
        <v>90000</v>
      </c>
      <c r="Q41" s="553">
        <v>20000</v>
      </c>
      <c r="R41" s="553">
        <v>30000</v>
      </c>
      <c r="S41" s="553">
        <f t="shared" si="3"/>
        <v>140000</v>
      </c>
      <c r="T41" s="553">
        <v>140000</v>
      </c>
    </row>
    <row r="42" spans="1:20" x14ac:dyDescent="0.25">
      <c r="A42" s="12">
        <v>33</v>
      </c>
      <c r="B42" s="12" t="s">
        <v>55</v>
      </c>
      <c r="C42" s="8" t="s">
        <v>195</v>
      </c>
      <c r="D42" s="416">
        <v>0</v>
      </c>
      <c r="E42" s="416">
        <f>SUMIF('cth sp'!$M$9:$M$107,B42,'cth sp'!$N$9:$N$107)</f>
        <v>0</v>
      </c>
      <c r="F42" s="416">
        <f>SUMIF('cth sp'!$M$9:$M$107,B42,'cth sp'!$O$9:$O$107)</f>
        <v>0</v>
      </c>
      <c r="G42" s="416">
        <f>SUMIF('cth sp'!$M$114:$M$158,B42,'cth sp'!$N$114:$N$158)</f>
        <v>0</v>
      </c>
      <c r="H42" s="416">
        <f>SUMIF('cth sp'!$M$114:$M$158,B42,'cth sp'!$O$114:$O$158)</f>
        <v>0</v>
      </c>
      <c r="I42" s="416">
        <f>SUMIF('cth sp'!$M$159:$M$389,B42,'cth sp'!$N$159:$N$389)</f>
        <v>0</v>
      </c>
      <c r="J42" s="416">
        <f>SUMIF('cth sp'!$M$159:$M$389,B42,'cth sp'!$O$159:$O$389)</f>
        <v>0</v>
      </c>
      <c r="K42" s="416">
        <f t="shared" si="4"/>
        <v>0</v>
      </c>
      <c r="L42" s="416">
        <f t="shared" si="5"/>
        <v>0</v>
      </c>
      <c r="M42" s="416">
        <f t="shared" si="6"/>
        <v>0</v>
      </c>
      <c r="O42" s="553">
        <v>835000</v>
      </c>
      <c r="S42" s="553">
        <f t="shared" si="3"/>
        <v>835000</v>
      </c>
    </row>
    <row r="43" spans="1:20" x14ac:dyDescent="0.25">
      <c r="A43" s="12">
        <v>34</v>
      </c>
      <c r="B43" s="12" t="s">
        <v>56</v>
      </c>
      <c r="C43" s="8" t="s">
        <v>196</v>
      </c>
      <c r="D43" s="416">
        <v>1000000</v>
      </c>
      <c r="E43" s="416">
        <f>SUMIF('cth sp'!$M$9:$M$107,B43,'cth sp'!$N$9:$N$107)</f>
        <v>0</v>
      </c>
      <c r="F43" s="416">
        <f>SUMIF('cth sp'!$M$9:$M$107,B43,'cth sp'!$O$9:$O$107)</f>
        <v>0</v>
      </c>
      <c r="G43" s="416">
        <f>SUMIF('cth sp'!$M$114:$M$158,B43,'cth sp'!$N$114:$N$158)</f>
        <v>0</v>
      </c>
      <c r="H43" s="416">
        <f>SUMIF('cth sp'!$M$114:$M$158,B43,'cth sp'!$O$114:$O$158)</f>
        <v>0</v>
      </c>
      <c r="I43" s="416">
        <f>SUMIF('cth sp'!$M$159:$M$389,B43,'cth sp'!$N$159:$N$389)</f>
        <v>0</v>
      </c>
      <c r="J43" s="416">
        <f>SUMIF('cth sp'!$M$159:$M$389,B43,'cth sp'!$O$159:$O$389)</f>
        <v>0</v>
      </c>
      <c r="K43" s="416">
        <f t="shared" si="4"/>
        <v>0</v>
      </c>
      <c r="L43" s="416">
        <f t="shared" si="5"/>
        <v>0</v>
      </c>
      <c r="M43" s="416">
        <f t="shared" si="6"/>
        <v>1000000</v>
      </c>
      <c r="P43" s="553">
        <v>70000</v>
      </c>
      <c r="S43" s="553">
        <f t="shared" si="3"/>
        <v>70000</v>
      </c>
    </row>
    <row r="44" spans="1:20" s="9" customFormat="1" x14ac:dyDescent="0.25">
      <c r="A44" s="12">
        <v>35</v>
      </c>
      <c r="B44" s="12" t="s">
        <v>57</v>
      </c>
      <c r="C44" s="12" t="s">
        <v>212</v>
      </c>
      <c r="D44" s="416">
        <v>1000000</v>
      </c>
      <c r="E44" s="416">
        <f>SUMIF('cth sp'!$M$9:$M$107,B44,'cth sp'!$N$9:$N$107)</f>
        <v>0</v>
      </c>
      <c r="F44" s="416">
        <f>SUMIF('cth sp'!$M$9:$M$107,B44,'cth sp'!$O$9:$O$107)</f>
        <v>0</v>
      </c>
      <c r="G44" s="416">
        <f>SUMIF('cth sp'!$M$114:$M$158,B44,'cth sp'!$N$114:$N$158)</f>
        <v>0</v>
      </c>
      <c r="H44" s="416">
        <f>SUMIF('cth sp'!$M$114:$M$158,B44,'cth sp'!$O$114:$O$158)</f>
        <v>0</v>
      </c>
      <c r="I44" s="416">
        <f>SUMIF('cth sp'!$M$159:$M$389,B44,'cth sp'!$N$159:$N$389)</f>
        <v>0</v>
      </c>
      <c r="J44" s="416">
        <f>SUMIF('cth sp'!$M$159:$M$389,B44,'cth sp'!$O$159:$O$389)</f>
        <v>0</v>
      </c>
      <c r="K44" s="416">
        <f t="shared" si="4"/>
        <v>0</v>
      </c>
      <c r="L44" s="416">
        <f t="shared" si="5"/>
        <v>0</v>
      </c>
      <c r="M44" s="416">
        <f t="shared" si="6"/>
        <v>1000000</v>
      </c>
      <c r="O44" s="553"/>
      <c r="P44" s="553"/>
      <c r="Q44" s="553"/>
      <c r="R44" s="553"/>
      <c r="S44" s="553">
        <f t="shared" si="3"/>
        <v>0</v>
      </c>
    </row>
    <row r="45" spans="1:20" s="9" customFormat="1" x14ac:dyDescent="0.25">
      <c r="A45" s="12">
        <v>36</v>
      </c>
      <c r="B45" s="12" t="s">
        <v>58</v>
      </c>
      <c r="C45" s="12" t="s">
        <v>213</v>
      </c>
      <c r="D45" s="416">
        <v>6000000</v>
      </c>
      <c r="E45" s="416">
        <f>SUMIF('cth sp'!$M$9:$M$107,B45,'cth sp'!$N$9:$N$107)</f>
        <v>1000000</v>
      </c>
      <c r="F45" s="416">
        <f>SUMIF('cth sp'!$M$9:$M$107,B45,'cth sp'!$O$9:$O$107)</f>
        <v>1000000</v>
      </c>
      <c r="G45" s="416">
        <f>SUMIF('cth sp'!$M$114:$M$158,B45,'cth sp'!$N$114:$N$158)</f>
        <v>0</v>
      </c>
      <c r="H45" s="416">
        <f>SUMIF('cth sp'!$M$114:$M$158,B45,'cth sp'!$O$114:$O$158)</f>
        <v>0</v>
      </c>
      <c r="I45" s="416">
        <f>SUMIF('cth sp'!$M$159:$M$389,B45,'cth sp'!$N$159:$N$389)</f>
        <v>0</v>
      </c>
      <c r="J45" s="416">
        <f>SUMIF('cth sp'!$M$159:$M$389,B45,'cth sp'!$O$159:$O$389)</f>
        <v>0</v>
      </c>
      <c r="K45" s="416">
        <f t="shared" si="4"/>
        <v>1000000</v>
      </c>
      <c r="L45" s="416">
        <f t="shared" si="5"/>
        <v>1000000</v>
      </c>
      <c r="M45" s="416">
        <f t="shared" si="6"/>
        <v>6000000</v>
      </c>
      <c r="O45" s="553"/>
      <c r="P45" s="553">
        <v>90000</v>
      </c>
      <c r="Q45" s="553">
        <v>20000</v>
      </c>
      <c r="R45" s="553">
        <v>30000</v>
      </c>
      <c r="S45" s="553">
        <f t="shared" si="3"/>
        <v>140000</v>
      </c>
    </row>
    <row r="46" spans="1:20" s="9" customFormat="1" x14ac:dyDescent="0.25">
      <c r="A46" s="12">
        <v>37</v>
      </c>
      <c r="B46" s="12" t="s">
        <v>59</v>
      </c>
      <c r="C46" s="12" t="s">
        <v>220</v>
      </c>
      <c r="D46" s="416">
        <v>1000000</v>
      </c>
      <c r="E46" s="416">
        <f>SUMIF('cth sp'!$M$9:$M$107,B46,'cth sp'!$N$9:$N$107)</f>
        <v>0</v>
      </c>
      <c r="F46" s="416">
        <f>SUMIF('cth sp'!$M$9:$M$107,B46,'cth sp'!$O$9:$O$107)</f>
        <v>0</v>
      </c>
      <c r="G46" s="416">
        <f>SUMIF('cth sp'!$M$114:$M$158,B46,'cth sp'!$N$114:$N$158)</f>
        <v>0</v>
      </c>
      <c r="H46" s="416">
        <f>SUMIF('cth sp'!$M$114:$M$158,B46,'cth sp'!$O$114:$O$158)</f>
        <v>0</v>
      </c>
      <c r="I46" s="416">
        <f>SUMIF('cth sp'!$M$159:$M$389,B46,'cth sp'!$N$159:$N$389)</f>
        <v>0</v>
      </c>
      <c r="J46" s="416">
        <f>SUMIF('cth sp'!$M$159:$M$389,B46,'cth sp'!$O$159:$O$389)</f>
        <v>0</v>
      </c>
      <c r="K46" s="416">
        <f t="shared" si="4"/>
        <v>0</v>
      </c>
      <c r="L46" s="416">
        <f t="shared" si="5"/>
        <v>0</v>
      </c>
      <c r="M46" s="416">
        <f t="shared" si="6"/>
        <v>1000000</v>
      </c>
      <c r="O46" s="553"/>
      <c r="P46" s="553">
        <v>90000</v>
      </c>
      <c r="Q46" s="553">
        <v>20000</v>
      </c>
      <c r="R46" s="553">
        <v>30000</v>
      </c>
      <c r="S46" s="553">
        <f t="shared" si="3"/>
        <v>140000</v>
      </c>
      <c r="T46" s="553">
        <v>140000</v>
      </c>
    </row>
    <row r="47" spans="1:20" s="9" customFormat="1" x14ac:dyDescent="0.25">
      <c r="A47" s="12">
        <v>38</v>
      </c>
      <c r="B47" s="12" t="s">
        <v>60</v>
      </c>
      <c r="C47" s="12" t="s">
        <v>214</v>
      </c>
      <c r="D47" s="416">
        <v>1000000</v>
      </c>
      <c r="E47" s="416">
        <f>SUMIF('cth sp'!$M$9:$M$107,B47,'cth sp'!$N$9:$N$107)</f>
        <v>0</v>
      </c>
      <c r="F47" s="416">
        <f>SUMIF('cth sp'!$M$9:$M$107,B47,'cth sp'!$O$9:$O$107)</f>
        <v>0</v>
      </c>
      <c r="G47" s="416">
        <f>SUMIF('cth sp'!$M$114:$M$158,B47,'cth sp'!$N$114:$N$158)</f>
        <v>0</v>
      </c>
      <c r="H47" s="416">
        <f>SUMIF('cth sp'!$M$114:$M$158,B47,'cth sp'!$O$114:$O$158)</f>
        <v>0</v>
      </c>
      <c r="I47" s="416">
        <f>SUMIF('cth sp'!$M$159:$M$389,B47,'cth sp'!$N$159:$N$389)</f>
        <v>0</v>
      </c>
      <c r="J47" s="416">
        <f>SUMIF('cth sp'!$M$159:$M$389,B47,'cth sp'!$O$159:$O$389)</f>
        <v>0</v>
      </c>
      <c r="K47" s="416">
        <f t="shared" si="4"/>
        <v>0</v>
      </c>
      <c r="L47" s="416">
        <f t="shared" si="5"/>
        <v>0</v>
      </c>
      <c r="M47" s="416">
        <f t="shared" si="6"/>
        <v>1000000</v>
      </c>
      <c r="O47" s="553"/>
      <c r="P47" s="553"/>
      <c r="Q47" s="553"/>
      <c r="R47" s="553"/>
      <c r="S47" s="553">
        <f t="shared" si="3"/>
        <v>0</v>
      </c>
    </row>
    <row r="48" spans="1:20" s="9" customFormat="1" x14ac:dyDescent="0.25">
      <c r="A48" s="12">
        <v>39</v>
      </c>
      <c r="B48" s="12" t="s">
        <v>61</v>
      </c>
      <c r="C48" s="12" t="s">
        <v>221</v>
      </c>
      <c r="D48" s="416">
        <v>0</v>
      </c>
      <c r="E48" s="416">
        <f>SUMIF('cth sp'!$M$9:$M$107,B48,'cth sp'!$N$9:$N$107)</f>
        <v>0</v>
      </c>
      <c r="F48" s="416">
        <f>SUMIF('cth sp'!$M$9:$M$107,B48,'cth sp'!$O$9:$O$107)</f>
        <v>0</v>
      </c>
      <c r="G48" s="416">
        <f>SUMIF('cth sp'!$M$114:$M$158,B48,'cth sp'!$N$114:$N$158)</f>
        <v>0</v>
      </c>
      <c r="H48" s="416">
        <f>SUMIF('cth sp'!$M$114:$M$158,B48,'cth sp'!$O$114:$O$158)</f>
        <v>0</v>
      </c>
      <c r="I48" s="416">
        <f>SUMIF('cth sp'!$M$159:$M$389,B48,'cth sp'!$N$159:$N$389)</f>
        <v>0</v>
      </c>
      <c r="J48" s="416">
        <f>SUMIF('cth sp'!$M$159:$M$389,B48,'cth sp'!$O$159:$O$389)</f>
        <v>0</v>
      </c>
      <c r="K48" s="416">
        <f t="shared" si="4"/>
        <v>0</v>
      </c>
      <c r="L48" s="416">
        <f t="shared" si="5"/>
        <v>0</v>
      </c>
      <c r="M48" s="416">
        <f t="shared" si="6"/>
        <v>0</v>
      </c>
      <c r="O48" s="553"/>
      <c r="P48" s="553"/>
      <c r="Q48" s="553"/>
      <c r="R48" s="553"/>
      <c r="S48" s="553">
        <f t="shared" si="3"/>
        <v>0</v>
      </c>
    </row>
    <row r="49" spans="1:20" s="9" customFormat="1" x14ac:dyDescent="0.25">
      <c r="A49" s="12">
        <v>40</v>
      </c>
      <c r="B49" s="12" t="s">
        <v>62</v>
      </c>
      <c r="C49" s="12" t="s">
        <v>222</v>
      </c>
      <c r="D49" s="416">
        <v>1000000</v>
      </c>
      <c r="E49" s="416">
        <f>SUMIF('cth sp'!$M$9:$M$107,B49,'cth sp'!$N$9:$N$107)</f>
        <v>1000000</v>
      </c>
      <c r="F49" s="416">
        <f>SUMIF('cth sp'!$M$9:$M$107,B49,'cth sp'!$O$9:$O$107)</f>
        <v>1000000</v>
      </c>
      <c r="G49" s="416">
        <f>SUMIF('cth sp'!$M$114:$M$158,B49,'cth sp'!$N$114:$N$158)</f>
        <v>1000000</v>
      </c>
      <c r="H49" s="416">
        <f>SUMIF('cth sp'!$M$114:$M$158,B49,'cth sp'!$O$114:$O$158)</f>
        <v>1000000</v>
      </c>
      <c r="I49" s="416">
        <f>SUMIF('cth sp'!$M$159:$M$389,B49,'cth sp'!$N$159:$N$389)</f>
        <v>0</v>
      </c>
      <c r="J49" s="416">
        <f>SUMIF('cth sp'!$M$159:$M$389,B49,'cth sp'!$O$159:$O$389)</f>
        <v>0</v>
      </c>
      <c r="K49" s="416">
        <f t="shared" si="4"/>
        <v>2000000</v>
      </c>
      <c r="L49" s="416">
        <f t="shared" si="5"/>
        <v>2000000</v>
      </c>
      <c r="M49" s="416">
        <f t="shared" si="6"/>
        <v>1000000</v>
      </c>
      <c r="O49" s="553"/>
      <c r="P49" s="553">
        <v>90000</v>
      </c>
      <c r="Q49" s="553">
        <v>20000</v>
      </c>
      <c r="R49" s="553">
        <v>30000</v>
      </c>
      <c r="S49" s="553">
        <f t="shared" si="3"/>
        <v>140000</v>
      </c>
      <c r="T49" s="553">
        <v>140000</v>
      </c>
    </row>
    <row r="50" spans="1:20" s="9" customFormat="1" x14ac:dyDescent="0.25">
      <c r="A50" s="12">
        <v>41</v>
      </c>
      <c r="B50" s="12" t="s">
        <v>67</v>
      </c>
      <c r="C50" s="12" t="s">
        <v>223</v>
      </c>
      <c r="D50" s="416">
        <v>1000000</v>
      </c>
      <c r="E50" s="416">
        <f>SUMIF('cth sp'!$M$9:$M$107,B50,'cth sp'!$N$9:$N$107)</f>
        <v>0</v>
      </c>
      <c r="F50" s="416">
        <f>SUMIF('cth sp'!$M$9:$M$107,B50,'cth sp'!$O$9:$O$107)</f>
        <v>0</v>
      </c>
      <c r="G50" s="416">
        <f>SUMIF('cth sp'!$M$114:$M$158,B50,'cth sp'!$N$114:$N$158)</f>
        <v>0</v>
      </c>
      <c r="H50" s="416">
        <f>SUMIF('cth sp'!$M$114:$M$158,B50,'cth sp'!$O$114:$O$158)</f>
        <v>0</v>
      </c>
      <c r="I50" s="416">
        <f>SUMIF('cth sp'!$M$159:$M$389,B50,'cth sp'!$N$159:$N$389)</f>
        <v>0</v>
      </c>
      <c r="J50" s="416">
        <f>SUMIF('cth sp'!$M$159:$M$389,B50,'cth sp'!$O$159:$O$389)</f>
        <v>0</v>
      </c>
      <c r="K50" s="416">
        <f t="shared" si="4"/>
        <v>0</v>
      </c>
      <c r="L50" s="416">
        <f t="shared" si="5"/>
        <v>0</v>
      </c>
      <c r="M50" s="416">
        <f t="shared" si="6"/>
        <v>1000000</v>
      </c>
      <c r="O50" s="553"/>
      <c r="P50" s="553"/>
      <c r="Q50" s="553"/>
      <c r="R50" s="553"/>
      <c r="S50" s="553">
        <f t="shared" si="3"/>
        <v>0</v>
      </c>
    </row>
    <row r="51" spans="1:20" s="9" customFormat="1" x14ac:dyDescent="0.25">
      <c r="A51" s="12">
        <v>42</v>
      </c>
      <c r="B51" s="12" t="s">
        <v>68</v>
      </c>
      <c r="C51" s="12" t="s">
        <v>670</v>
      </c>
      <c r="D51" s="416">
        <v>1000000</v>
      </c>
      <c r="E51" s="416">
        <f>SUMIF('cth sp'!$M$9:$M$107,B51,'cth sp'!$N$9:$N$107)</f>
        <v>0</v>
      </c>
      <c r="F51" s="416">
        <f>SUMIF('cth sp'!$M$9:$M$107,B51,'cth sp'!$O$9:$O$107)</f>
        <v>0</v>
      </c>
      <c r="G51" s="416">
        <f>SUMIF('cth sp'!$M$114:$M$158,B51,'cth sp'!$N$114:$N$158)</f>
        <v>1000000</v>
      </c>
      <c r="H51" s="416">
        <f>SUMIF('cth sp'!$M$114:$M$158,B51,'cth sp'!$O$114:$O$158)</f>
        <v>1000000</v>
      </c>
      <c r="I51" s="416">
        <f>SUMIF('cth sp'!$M$159:$M$389,B51,'cth sp'!$N$159:$N$389)</f>
        <v>0</v>
      </c>
      <c r="J51" s="416">
        <f>SUMIF('cth sp'!$M$159:$M$389,B51,'cth sp'!$O$159:$O$389)</f>
        <v>0</v>
      </c>
      <c r="K51" s="416">
        <f t="shared" si="4"/>
        <v>1000000</v>
      </c>
      <c r="L51" s="416">
        <f t="shared" si="5"/>
        <v>1000000</v>
      </c>
      <c r="M51" s="416">
        <f t="shared" si="6"/>
        <v>1000000</v>
      </c>
      <c r="O51" s="553"/>
      <c r="P51" s="553">
        <v>90000</v>
      </c>
      <c r="Q51" s="553">
        <v>20000</v>
      </c>
      <c r="R51" s="553">
        <v>30000</v>
      </c>
      <c r="S51" s="553">
        <f t="shared" si="3"/>
        <v>140000</v>
      </c>
      <c r="T51" s="553">
        <v>140000</v>
      </c>
    </row>
    <row r="52" spans="1:20" s="9" customFormat="1" x14ac:dyDescent="0.25">
      <c r="A52" s="12">
        <v>43</v>
      </c>
      <c r="B52" s="12" t="s">
        <v>69</v>
      </c>
      <c r="C52" s="12" t="s">
        <v>225</v>
      </c>
      <c r="D52" s="416">
        <v>1000000</v>
      </c>
      <c r="E52" s="416">
        <f>SUMIF('cth sp'!$M$9:$M$107,B52,'cth sp'!$N$9:$N$107)</f>
        <v>1000000</v>
      </c>
      <c r="F52" s="416">
        <f>SUMIF('cth sp'!$M$9:$M$107,B52,'cth sp'!$O$9:$O$107)</f>
        <v>1000000</v>
      </c>
      <c r="G52" s="416">
        <f>SUMIF('cth sp'!$M$114:$M$158,B52,'cth sp'!$N$114:$N$158)</f>
        <v>0</v>
      </c>
      <c r="H52" s="416">
        <f>SUMIF('cth sp'!$M$114:$M$158,B52,'cth sp'!$O$114:$O$158)</f>
        <v>0</v>
      </c>
      <c r="I52" s="416">
        <f>SUMIF('cth sp'!$M$159:$M$389,B52,'cth sp'!$N$159:$N$389)</f>
        <v>0</v>
      </c>
      <c r="J52" s="416">
        <f>SUMIF('cth sp'!$M$159:$M$389,B52,'cth sp'!$O$159:$O$389)</f>
        <v>0</v>
      </c>
      <c r="K52" s="416">
        <f t="shared" si="4"/>
        <v>1000000</v>
      </c>
      <c r="L52" s="416">
        <f t="shared" si="5"/>
        <v>1000000</v>
      </c>
      <c r="M52" s="416">
        <f t="shared" si="6"/>
        <v>1000000</v>
      </c>
      <c r="O52" s="553"/>
      <c r="P52" s="553">
        <v>90000</v>
      </c>
      <c r="Q52" s="553">
        <v>20000</v>
      </c>
      <c r="R52" s="553">
        <v>30000</v>
      </c>
      <c r="S52" s="553">
        <f t="shared" si="3"/>
        <v>140000</v>
      </c>
      <c r="T52" s="553">
        <v>140000</v>
      </c>
    </row>
    <row r="53" spans="1:20" s="9" customFormat="1" x14ac:dyDescent="0.25">
      <c r="A53" s="12">
        <v>44</v>
      </c>
      <c r="B53" s="12" t="s">
        <v>70</v>
      </c>
      <c r="C53" s="12" t="s">
        <v>226</v>
      </c>
      <c r="D53" s="416">
        <v>2000000</v>
      </c>
      <c r="E53" s="416">
        <f>SUMIF('cth sp'!$M$9:$M$107,B53,'cth sp'!$N$9:$N$107)</f>
        <v>2000000</v>
      </c>
      <c r="F53" s="416">
        <f>SUMIF('cth sp'!$M$9:$M$107,B53,'cth sp'!$O$9:$O$107)</f>
        <v>2000000</v>
      </c>
      <c r="G53" s="416">
        <f>SUMIF('cth sp'!$M$114:$M$158,B53,'cth sp'!$N$114:$N$158)</f>
        <v>2000000</v>
      </c>
      <c r="H53" s="416">
        <f>SUMIF('cth sp'!$M$114:$M$158,B53,'cth sp'!$O$114:$O$158)</f>
        <v>2000000</v>
      </c>
      <c r="I53" s="416">
        <f>SUMIF('cth sp'!$M$159:$M$389,B53,'cth sp'!$N$159:$N$389)</f>
        <v>0</v>
      </c>
      <c r="J53" s="416">
        <f>SUMIF('cth sp'!$M$159:$M$389,B53,'cth sp'!$O$159:$O$389)</f>
        <v>0</v>
      </c>
      <c r="K53" s="416">
        <f t="shared" si="4"/>
        <v>4000000</v>
      </c>
      <c r="L53" s="416">
        <f t="shared" si="5"/>
        <v>4000000</v>
      </c>
      <c r="M53" s="416">
        <f t="shared" si="6"/>
        <v>2000000</v>
      </c>
      <c r="O53" s="553"/>
      <c r="P53" s="553">
        <v>90000</v>
      </c>
      <c r="Q53" s="553">
        <v>20000</v>
      </c>
      <c r="R53" s="553">
        <v>30000</v>
      </c>
      <c r="S53" s="553">
        <f t="shared" si="3"/>
        <v>140000</v>
      </c>
      <c r="T53" s="553">
        <v>140000</v>
      </c>
    </row>
    <row r="54" spans="1:20" s="9" customFormat="1" x14ac:dyDescent="0.25">
      <c r="A54" s="12">
        <v>45</v>
      </c>
      <c r="B54" s="12" t="s">
        <v>71</v>
      </c>
      <c r="C54" s="12" t="s">
        <v>227</v>
      </c>
      <c r="D54" s="416">
        <v>1000000</v>
      </c>
      <c r="E54" s="416">
        <f>SUMIF('cth sp'!$M$9:$M$107,B54,'cth sp'!$N$9:$N$107)</f>
        <v>0</v>
      </c>
      <c r="F54" s="416">
        <f>SUMIF('cth sp'!$M$9:$M$107,B54,'cth sp'!$O$9:$O$107)</f>
        <v>0</v>
      </c>
      <c r="G54" s="416">
        <f>SUMIF('cth sp'!$M$114:$M$158,B54,'cth sp'!$N$114:$N$158)</f>
        <v>0</v>
      </c>
      <c r="H54" s="416">
        <f>SUMIF('cth sp'!$M$114:$M$158,B54,'cth sp'!$O$114:$O$158)</f>
        <v>0</v>
      </c>
      <c r="I54" s="416">
        <f>SUMIF('cth sp'!$M$159:$M$389,B54,'cth sp'!$N$159:$N$389)</f>
        <v>0</v>
      </c>
      <c r="J54" s="416">
        <f>SUMIF('cth sp'!$M$159:$M$389,B54,'cth sp'!$O$159:$O$389)</f>
        <v>0</v>
      </c>
      <c r="K54" s="416">
        <f t="shared" si="4"/>
        <v>0</v>
      </c>
      <c r="L54" s="416">
        <f t="shared" si="5"/>
        <v>0</v>
      </c>
      <c r="M54" s="416">
        <f t="shared" si="6"/>
        <v>1000000</v>
      </c>
      <c r="O54" s="553"/>
      <c r="P54" s="553">
        <v>90000</v>
      </c>
      <c r="Q54" s="553">
        <v>20000</v>
      </c>
      <c r="R54" s="553">
        <v>30000</v>
      </c>
      <c r="S54" s="553">
        <f t="shared" si="3"/>
        <v>140000</v>
      </c>
      <c r="T54" s="553">
        <v>140000</v>
      </c>
    </row>
    <row r="55" spans="1:20" s="9" customFormat="1" x14ac:dyDescent="0.25">
      <c r="A55" s="12">
        <v>46</v>
      </c>
      <c r="B55" s="12" t="s">
        <v>72</v>
      </c>
      <c r="C55" s="12" t="s">
        <v>228</v>
      </c>
      <c r="D55" s="416">
        <v>1000000</v>
      </c>
      <c r="E55" s="416">
        <f>SUMIF('cth sp'!$M$9:$M$107,B55,'cth sp'!$N$9:$N$107)</f>
        <v>0</v>
      </c>
      <c r="F55" s="416">
        <f>SUMIF('cth sp'!$M$9:$M$107,B55,'cth sp'!$O$9:$O$107)</f>
        <v>0</v>
      </c>
      <c r="G55" s="416">
        <f>SUMIF('cth sp'!$M$114:$M$158,B55,'cth sp'!$N$114:$N$158)</f>
        <v>0</v>
      </c>
      <c r="H55" s="416">
        <f>SUMIF('cth sp'!$M$114:$M$158,B55,'cth sp'!$O$114:$O$158)</f>
        <v>0</v>
      </c>
      <c r="I55" s="416">
        <f>SUMIF('cth sp'!$M$159:$M$389,B55,'cth sp'!$N$159:$N$389)</f>
        <v>0</v>
      </c>
      <c r="J55" s="416">
        <f>SUMIF('cth sp'!$M$159:$M$389,B55,'cth sp'!$O$159:$O$389)</f>
        <v>0</v>
      </c>
      <c r="K55" s="416">
        <f t="shared" si="4"/>
        <v>0</v>
      </c>
      <c r="L55" s="416">
        <f t="shared" si="5"/>
        <v>0</v>
      </c>
      <c r="M55" s="416">
        <f t="shared" si="6"/>
        <v>1000000</v>
      </c>
      <c r="O55" s="553"/>
      <c r="P55" s="553"/>
      <c r="Q55" s="553"/>
      <c r="R55" s="553"/>
      <c r="S55" s="553">
        <f t="shared" si="3"/>
        <v>0</v>
      </c>
    </row>
    <row r="56" spans="1:20" s="9" customFormat="1" x14ac:dyDescent="0.25">
      <c r="A56" s="12">
        <v>47</v>
      </c>
      <c r="B56" s="12" t="s">
        <v>73</v>
      </c>
      <c r="C56" s="12" t="s">
        <v>361</v>
      </c>
      <c r="D56" s="416">
        <v>1000000</v>
      </c>
      <c r="E56" s="416">
        <f>SUMIF('cth sp'!$M$9:$M$107,B56,'cth sp'!$N$9:$N$107)</f>
        <v>0</v>
      </c>
      <c r="F56" s="416">
        <f>SUMIF('cth sp'!$M$9:$M$107,B56,'cth sp'!$O$9:$O$107)</f>
        <v>0</v>
      </c>
      <c r="G56" s="416">
        <f>SUMIF('cth sp'!$M$114:$M$158,B56,'cth sp'!$N$114:$N$158)</f>
        <v>0</v>
      </c>
      <c r="H56" s="416">
        <f>SUMIF('cth sp'!$M$114:$M$158,B56,'cth sp'!$O$114:$O$158)</f>
        <v>0</v>
      </c>
      <c r="I56" s="416">
        <f>SUMIF('cth sp'!$M$159:$M$389,B56,'cth sp'!$N$159:$N$389)</f>
        <v>0</v>
      </c>
      <c r="J56" s="416">
        <f>SUMIF('cth sp'!$M$159:$M$389,B56,'cth sp'!$O$159:$O$389)</f>
        <v>0</v>
      </c>
      <c r="K56" s="416">
        <f t="shared" si="4"/>
        <v>0</v>
      </c>
      <c r="L56" s="416">
        <f t="shared" si="5"/>
        <v>0</v>
      </c>
      <c r="M56" s="416">
        <f t="shared" si="6"/>
        <v>1000000</v>
      </c>
      <c r="O56" s="553"/>
      <c r="P56" s="553"/>
      <c r="Q56" s="553"/>
      <c r="R56" s="553"/>
      <c r="S56" s="553">
        <f t="shared" si="3"/>
        <v>0</v>
      </c>
    </row>
    <row r="57" spans="1:20" s="9" customFormat="1" x14ac:dyDescent="0.25">
      <c r="A57" s="12">
        <v>48</v>
      </c>
      <c r="B57" s="12" t="s">
        <v>74</v>
      </c>
      <c r="C57" s="12" t="s">
        <v>362</v>
      </c>
      <c r="D57" s="416">
        <v>1000000</v>
      </c>
      <c r="E57" s="416">
        <f>SUMIF('cth sp'!$M$9:$M$107,B57,'cth sp'!$N$9:$N$107)</f>
        <v>0</v>
      </c>
      <c r="F57" s="416">
        <f>SUMIF('cth sp'!$M$9:$M$107,B57,'cth sp'!$O$9:$O$107)</f>
        <v>0</v>
      </c>
      <c r="G57" s="416">
        <f>SUMIF('cth sp'!$M$114:$M$158,B57,'cth sp'!$N$114:$N$158)</f>
        <v>0</v>
      </c>
      <c r="H57" s="416">
        <f>SUMIF('cth sp'!$M$114:$M$158,B57,'cth sp'!$O$114:$O$158)</f>
        <v>0</v>
      </c>
      <c r="I57" s="416">
        <f>SUMIF('cth sp'!$M$159:$M$389,B57,'cth sp'!$N$159:$N$389)</f>
        <v>0</v>
      </c>
      <c r="J57" s="416">
        <f>SUMIF('cth sp'!$M$159:$M$389,B57,'cth sp'!$O$159:$O$389)</f>
        <v>0</v>
      </c>
      <c r="K57" s="416">
        <f t="shared" si="4"/>
        <v>0</v>
      </c>
      <c r="L57" s="416">
        <f t="shared" si="5"/>
        <v>0</v>
      </c>
      <c r="M57" s="416">
        <f t="shared" si="6"/>
        <v>1000000</v>
      </c>
      <c r="O57" s="553"/>
      <c r="P57" s="553">
        <v>90000</v>
      </c>
      <c r="Q57" s="553">
        <v>20000</v>
      </c>
      <c r="R57" s="553">
        <v>30000</v>
      </c>
      <c r="S57" s="553">
        <f t="shared" si="3"/>
        <v>140000</v>
      </c>
      <c r="T57" s="553">
        <v>140000</v>
      </c>
    </row>
    <row r="58" spans="1:20" x14ac:dyDescent="0.25">
      <c r="A58" s="12">
        <v>49</v>
      </c>
      <c r="B58" s="12" t="s">
        <v>75</v>
      </c>
      <c r="C58" s="12" t="s">
        <v>363</v>
      </c>
      <c r="D58" s="416">
        <v>0</v>
      </c>
      <c r="E58" s="416">
        <f>SUMIF('cth sp'!$M$9:$M$107,B58,'cth sp'!$N$9:$N$107)</f>
        <v>0</v>
      </c>
      <c r="F58" s="416">
        <f>SUMIF('cth sp'!$M$9:$M$107,B58,'cth sp'!$O$9:$O$107)</f>
        <v>0</v>
      </c>
      <c r="G58" s="416">
        <f>SUMIF('cth sp'!$M$114:$M$158,B58,'cth sp'!$N$114:$N$158)</f>
        <v>0</v>
      </c>
      <c r="H58" s="416">
        <f>SUMIF('cth sp'!$M$114:$M$158,B58,'cth sp'!$O$114:$O$158)</f>
        <v>0</v>
      </c>
      <c r="I58" s="416">
        <f>SUMIF('cth sp'!$M$159:$M$389,B58,'cth sp'!$N$159:$N$389)</f>
        <v>0</v>
      </c>
      <c r="J58" s="416">
        <f>SUMIF('cth sp'!$M$159:$M$389,B58,'cth sp'!$O$159:$O$389)</f>
        <v>0</v>
      </c>
      <c r="K58" s="416">
        <f t="shared" si="4"/>
        <v>0</v>
      </c>
      <c r="L58" s="416">
        <f t="shared" si="5"/>
        <v>0</v>
      </c>
      <c r="M58" s="416">
        <f t="shared" si="6"/>
        <v>0</v>
      </c>
      <c r="S58" s="553">
        <f t="shared" si="3"/>
        <v>0</v>
      </c>
    </row>
    <row r="59" spans="1:20" x14ac:dyDescent="0.25">
      <c r="A59" s="12">
        <v>50</v>
      </c>
      <c r="B59" s="12" t="s">
        <v>76</v>
      </c>
      <c r="C59" s="12" t="s">
        <v>364</v>
      </c>
      <c r="D59" s="416">
        <v>0</v>
      </c>
      <c r="E59" s="416">
        <f>SUMIF('cth sp'!$M$9:$M$107,B59,'cth sp'!$N$9:$N$107)</f>
        <v>0</v>
      </c>
      <c r="F59" s="416">
        <f>SUMIF('cth sp'!$M$9:$M$107,B59,'cth sp'!$O$9:$O$107)</f>
        <v>0</v>
      </c>
      <c r="G59" s="416">
        <f>SUMIF('cth sp'!$M$114:$M$158,B59,'cth sp'!$N$114:$N$158)</f>
        <v>0</v>
      </c>
      <c r="H59" s="416">
        <f>SUMIF('cth sp'!$M$114:$M$158,B59,'cth sp'!$O$114:$O$158)</f>
        <v>0</v>
      </c>
      <c r="I59" s="416">
        <f>SUMIF('cth sp'!$M$159:$M$389,B59,'cth sp'!$N$159:$N$389)</f>
        <v>0</v>
      </c>
      <c r="J59" s="416">
        <f>SUMIF('cth sp'!$M$159:$M$389,B59,'cth sp'!$O$159:$O$389)</f>
        <v>0</v>
      </c>
      <c r="K59" s="416">
        <f t="shared" si="4"/>
        <v>0</v>
      </c>
      <c r="L59" s="416">
        <f t="shared" si="5"/>
        <v>0</v>
      </c>
      <c r="M59" s="416">
        <f t="shared" si="6"/>
        <v>0</v>
      </c>
      <c r="S59" s="553">
        <f t="shared" si="3"/>
        <v>0</v>
      </c>
    </row>
    <row r="60" spans="1:20" x14ac:dyDescent="0.25">
      <c r="A60" s="12">
        <v>51</v>
      </c>
      <c r="B60" s="12" t="s">
        <v>77</v>
      </c>
      <c r="C60" s="12" t="s">
        <v>365</v>
      </c>
      <c r="D60" s="416">
        <v>1000000</v>
      </c>
      <c r="E60" s="416">
        <f>SUMIF('cth sp'!$M$9:$M$107,B60,'cth sp'!$N$9:$N$107)</f>
        <v>0</v>
      </c>
      <c r="F60" s="416">
        <f>SUMIF('cth sp'!$M$9:$M$107,B60,'cth sp'!$O$9:$O$107)</f>
        <v>0</v>
      </c>
      <c r="G60" s="416">
        <f>SUMIF('cth sp'!$M$114:$M$158,B60,'cth sp'!$N$114:$N$158)</f>
        <v>0</v>
      </c>
      <c r="H60" s="416">
        <f>SUMIF('cth sp'!$M$114:$M$158,B60,'cth sp'!$O$114:$O$158)</f>
        <v>0</v>
      </c>
      <c r="I60" s="416">
        <f>SUMIF('cth sp'!$M$159:$M$389,B60,'cth sp'!$N$159:$N$389)</f>
        <v>0</v>
      </c>
      <c r="J60" s="416">
        <f>SUMIF('cth sp'!$M$159:$M$389,B60,'cth sp'!$O$159:$O$389)</f>
        <v>0</v>
      </c>
      <c r="K60" s="416">
        <f t="shared" si="4"/>
        <v>0</v>
      </c>
      <c r="L60" s="416">
        <f t="shared" si="5"/>
        <v>0</v>
      </c>
      <c r="M60" s="416">
        <f t="shared" si="6"/>
        <v>1000000</v>
      </c>
      <c r="P60" s="553">
        <v>90000</v>
      </c>
      <c r="Q60" s="553">
        <v>20000</v>
      </c>
      <c r="R60" s="553">
        <v>30000</v>
      </c>
      <c r="S60" s="553">
        <f t="shared" si="3"/>
        <v>140000</v>
      </c>
    </row>
    <row r="61" spans="1:20" x14ac:dyDescent="0.25">
      <c r="A61" s="12">
        <v>52</v>
      </c>
      <c r="B61" s="12" t="s">
        <v>78</v>
      </c>
      <c r="C61" s="12" t="s">
        <v>366</v>
      </c>
      <c r="D61" s="416">
        <v>1000000</v>
      </c>
      <c r="E61" s="416">
        <f>SUMIF('cth sp'!$M$9:$M$107,B61,'cth sp'!$N$9:$N$107)</f>
        <v>0</v>
      </c>
      <c r="F61" s="416">
        <f>SUMIF('cth sp'!$M$9:$M$107,B61,'cth sp'!$O$9:$O$107)</f>
        <v>0</v>
      </c>
      <c r="G61" s="416">
        <f>SUMIF('cth sp'!$M$114:$M$158,B61,'cth sp'!$N$114:$N$158)</f>
        <v>0</v>
      </c>
      <c r="H61" s="416">
        <f>SUMIF('cth sp'!$M$114:$M$158,B61,'cth sp'!$O$114:$O$158)</f>
        <v>0</v>
      </c>
      <c r="I61" s="416">
        <f>SUMIF('cth sp'!$M$159:$M$389,B61,'cth sp'!$N$159:$N$389)</f>
        <v>0</v>
      </c>
      <c r="J61" s="416">
        <f>SUMIF('cth sp'!$M$159:$M$389,B61,'cth sp'!$O$159:$O$389)</f>
        <v>0</v>
      </c>
      <c r="K61" s="416">
        <f t="shared" si="4"/>
        <v>0</v>
      </c>
      <c r="L61" s="416">
        <f t="shared" si="5"/>
        <v>0</v>
      </c>
      <c r="M61" s="416">
        <f t="shared" si="6"/>
        <v>1000000</v>
      </c>
      <c r="P61" s="553">
        <v>90000</v>
      </c>
      <c r="Q61" s="553">
        <v>20000</v>
      </c>
      <c r="R61" s="553">
        <v>30000</v>
      </c>
      <c r="S61" s="553">
        <f t="shared" si="3"/>
        <v>140000</v>
      </c>
      <c r="T61" s="553">
        <v>140000</v>
      </c>
    </row>
    <row r="62" spans="1:20" x14ac:dyDescent="0.25">
      <c r="A62" s="12">
        <v>53</v>
      </c>
      <c r="B62" s="12" t="s">
        <v>79</v>
      </c>
      <c r="C62" s="12" t="s">
        <v>367</v>
      </c>
      <c r="D62" s="416">
        <v>1000000</v>
      </c>
      <c r="E62" s="416">
        <f>SUMIF('cth sp'!$M$9:$M$107,B62,'cth sp'!$N$9:$N$107)</f>
        <v>0</v>
      </c>
      <c r="F62" s="416">
        <f>SUMIF('cth sp'!$M$9:$M$107,B62,'cth sp'!$O$9:$O$107)</f>
        <v>0</v>
      </c>
      <c r="G62" s="416">
        <f>SUMIF('cth sp'!$M$114:$M$158,B62,'cth sp'!$N$114:$N$158)</f>
        <v>0</v>
      </c>
      <c r="H62" s="416">
        <f>SUMIF('cth sp'!$M$114:$M$158,B62,'cth sp'!$O$114:$O$158)</f>
        <v>0</v>
      </c>
      <c r="I62" s="416">
        <f>SUMIF('cth sp'!$M$159:$M$389,B62,'cth sp'!$N$159:$N$389)</f>
        <v>0</v>
      </c>
      <c r="J62" s="416">
        <f>SUMIF('cth sp'!$M$159:$M$389,B62,'cth sp'!$O$159:$O$389)</f>
        <v>0</v>
      </c>
      <c r="K62" s="416">
        <f t="shared" si="4"/>
        <v>0</v>
      </c>
      <c r="L62" s="416">
        <f t="shared" si="5"/>
        <v>0</v>
      </c>
      <c r="M62" s="416">
        <f t="shared" si="6"/>
        <v>1000000</v>
      </c>
      <c r="P62" s="553">
        <v>90000</v>
      </c>
      <c r="Q62" s="553">
        <v>20000</v>
      </c>
      <c r="R62" s="553">
        <v>30000</v>
      </c>
      <c r="S62" s="553">
        <f t="shared" si="3"/>
        <v>140000</v>
      </c>
      <c r="T62" s="553">
        <v>140000</v>
      </c>
    </row>
    <row r="63" spans="1:20" x14ac:dyDescent="0.25">
      <c r="A63" s="12">
        <v>54</v>
      </c>
      <c r="B63" s="12" t="s">
        <v>80</v>
      </c>
      <c r="C63" s="12" t="s">
        <v>368</v>
      </c>
      <c r="D63" s="416">
        <v>1000000</v>
      </c>
      <c r="E63" s="416">
        <f>SUMIF('cth sp'!$M$9:$M$107,B63,'cth sp'!$N$9:$N$107)</f>
        <v>0</v>
      </c>
      <c r="F63" s="416">
        <f>SUMIF('cth sp'!$M$9:$M$107,B63,'cth sp'!$O$9:$O$107)</f>
        <v>0</v>
      </c>
      <c r="G63" s="416">
        <f>SUMIF('cth sp'!$M$114:$M$158,B63,'cth sp'!$N$114:$N$158)</f>
        <v>0</v>
      </c>
      <c r="H63" s="416">
        <f>SUMIF('cth sp'!$M$114:$M$158,B63,'cth sp'!$O$114:$O$158)</f>
        <v>0</v>
      </c>
      <c r="I63" s="416">
        <f>SUMIF('cth sp'!$M$159:$M$389,B63,'cth sp'!$N$159:$N$389)</f>
        <v>0</v>
      </c>
      <c r="J63" s="416">
        <f>SUMIF('cth sp'!$M$159:$M$389,B63,'cth sp'!$O$159:$O$389)</f>
        <v>0</v>
      </c>
      <c r="K63" s="416">
        <f t="shared" si="4"/>
        <v>0</v>
      </c>
      <c r="L63" s="416">
        <f t="shared" si="5"/>
        <v>0</v>
      </c>
      <c r="M63" s="416">
        <f t="shared" si="6"/>
        <v>1000000</v>
      </c>
      <c r="P63" s="553">
        <v>90000</v>
      </c>
      <c r="Q63" s="553">
        <v>20000</v>
      </c>
      <c r="R63" s="553">
        <v>30000</v>
      </c>
      <c r="S63" s="553">
        <f t="shared" si="3"/>
        <v>140000</v>
      </c>
    </row>
    <row r="64" spans="1:20" x14ac:dyDescent="0.25">
      <c r="A64" s="12">
        <v>55</v>
      </c>
      <c r="B64" s="12" t="s">
        <v>81</v>
      </c>
      <c r="C64" s="12" t="s">
        <v>378</v>
      </c>
      <c r="D64" s="416">
        <v>1000000</v>
      </c>
      <c r="E64" s="416">
        <f>SUMIF('cth sp'!$M$9:$M$107,B64,'cth sp'!$N$9:$N$107)</f>
        <v>0</v>
      </c>
      <c r="F64" s="416">
        <f>SUMIF('cth sp'!$M$9:$M$107,B64,'cth sp'!$O$9:$O$107)</f>
        <v>0</v>
      </c>
      <c r="G64" s="416">
        <f>SUMIF('cth sp'!$M$114:$M$158,B64,'cth sp'!$N$114:$N$158)</f>
        <v>0</v>
      </c>
      <c r="H64" s="416">
        <f>SUMIF('cth sp'!$M$114:$M$158,B64,'cth sp'!$O$114:$O$158)</f>
        <v>0</v>
      </c>
      <c r="I64" s="416">
        <f>SUMIF('cth sp'!$M$159:$M$389,B64,'cth sp'!$N$159:$N$389)</f>
        <v>0</v>
      </c>
      <c r="J64" s="416">
        <f>SUMIF('cth sp'!$M$159:$M$389,B64,'cth sp'!$O$159:$O$389)</f>
        <v>0</v>
      </c>
      <c r="K64" s="416">
        <f t="shared" si="4"/>
        <v>0</v>
      </c>
      <c r="L64" s="416">
        <f t="shared" si="5"/>
        <v>0</v>
      </c>
      <c r="M64" s="416">
        <f t="shared" si="6"/>
        <v>1000000</v>
      </c>
      <c r="P64" s="553">
        <v>90000</v>
      </c>
      <c r="Q64" s="553">
        <v>20000</v>
      </c>
      <c r="R64" s="553">
        <v>30000</v>
      </c>
      <c r="S64" s="553">
        <f t="shared" si="3"/>
        <v>140000</v>
      </c>
      <c r="T64" s="553">
        <v>140000</v>
      </c>
    </row>
    <row r="65" spans="1:20" x14ac:dyDescent="0.25">
      <c r="A65" s="12">
        <v>56</v>
      </c>
      <c r="B65" s="12" t="s">
        <v>152</v>
      </c>
      <c r="C65" s="12" t="s">
        <v>669</v>
      </c>
      <c r="D65" s="416">
        <v>1000000</v>
      </c>
      <c r="E65" s="416">
        <f>SUMIF('cth sp'!$M$9:$M$107,B65,'cth sp'!$N$9:$N$107)</f>
        <v>1000000</v>
      </c>
      <c r="F65" s="416">
        <f>SUMIF('cth sp'!$M$9:$M$107,B65,'cth sp'!$O$9:$O$107)</f>
        <v>1000000</v>
      </c>
      <c r="G65" s="416">
        <f>SUMIF('cth sp'!$M$114:$M$158,B65,'cth sp'!$N$114:$N$158)</f>
        <v>1000000</v>
      </c>
      <c r="H65" s="416">
        <f>SUMIF('cth sp'!$M$114:$M$158,B65,'cth sp'!$O$114:$O$158)</f>
        <v>1000000</v>
      </c>
      <c r="I65" s="416">
        <f>SUMIF('cth sp'!$M$159:$M$389,B65,'cth sp'!$N$159:$N$389)</f>
        <v>0</v>
      </c>
      <c r="J65" s="416">
        <f>SUMIF('cth sp'!$M$159:$M$389,B65,'cth sp'!$O$159:$O$389)</f>
        <v>0</v>
      </c>
      <c r="K65" s="416">
        <f t="shared" si="4"/>
        <v>2000000</v>
      </c>
      <c r="L65" s="416">
        <f t="shared" si="5"/>
        <v>2000000</v>
      </c>
      <c r="M65" s="416">
        <f t="shared" si="6"/>
        <v>1000000</v>
      </c>
      <c r="P65" s="553">
        <v>90000</v>
      </c>
      <c r="Q65" s="553">
        <v>20000</v>
      </c>
      <c r="R65" s="553">
        <v>30000</v>
      </c>
      <c r="S65" s="553">
        <f t="shared" si="3"/>
        <v>140000</v>
      </c>
      <c r="T65" s="553">
        <v>140000</v>
      </c>
    </row>
    <row r="66" spans="1:20" x14ac:dyDescent="0.25">
      <c r="A66" s="12">
        <v>57</v>
      </c>
      <c r="B66" s="12" t="s">
        <v>153</v>
      </c>
      <c r="C66" s="12" t="s">
        <v>379</v>
      </c>
      <c r="D66" s="416">
        <v>1000000</v>
      </c>
      <c r="E66" s="416">
        <f>SUMIF('cth sp'!$M$9:$M$107,B66,'cth sp'!$N$9:$N$107)</f>
        <v>1000000</v>
      </c>
      <c r="F66" s="416">
        <f>SUMIF('cth sp'!$M$9:$M$107,B66,'cth sp'!$O$9:$O$107)</f>
        <v>1000000</v>
      </c>
      <c r="G66" s="416">
        <f>SUMIF('cth sp'!$M$114:$M$158,B66,'cth sp'!$N$114:$N$158)</f>
        <v>0</v>
      </c>
      <c r="H66" s="416">
        <f>SUMIF('cth sp'!$M$114:$M$158,B66,'cth sp'!$O$114:$O$158)</f>
        <v>0</v>
      </c>
      <c r="I66" s="416">
        <f>SUMIF('cth sp'!$M$159:$M$389,B66,'cth sp'!$N$159:$N$389)</f>
        <v>0</v>
      </c>
      <c r="J66" s="416">
        <f>SUMIF('cth sp'!$M$159:$M$389,B66,'cth sp'!$O$159:$O$389)</f>
        <v>0</v>
      </c>
      <c r="K66" s="416">
        <f t="shared" si="4"/>
        <v>1000000</v>
      </c>
      <c r="L66" s="416">
        <f t="shared" si="5"/>
        <v>1000000</v>
      </c>
      <c r="M66" s="416">
        <f t="shared" si="6"/>
        <v>1000000</v>
      </c>
      <c r="P66" s="553">
        <v>90000</v>
      </c>
      <c r="Q66" s="553">
        <v>20000</v>
      </c>
      <c r="R66" s="553">
        <v>30000</v>
      </c>
      <c r="S66" s="553">
        <f t="shared" si="3"/>
        <v>140000</v>
      </c>
    </row>
    <row r="67" spans="1:20" x14ac:dyDescent="0.25">
      <c r="A67" s="12">
        <v>58</v>
      </c>
      <c r="B67" s="12" t="s">
        <v>154</v>
      </c>
      <c r="C67" s="12" t="s">
        <v>381</v>
      </c>
      <c r="D67" s="416">
        <v>1000000</v>
      </c>
      <c r="E67" s="416">
        <f>SUMIF('cth sp'!$M$9:$M$107,B67,'cth sp'!$N$9:$N$107)</f>
        <v>1000000</v>
      </c>
      <c r="F67" s="416">
        <f>SUMIF('cth sp'!$M$9:$M$107,B67,'cth sp'!$O$9:$O$107)</f>
        <v>1000000</v>
      </c>
      <c r="G67" s="416">
        <f>SUMIF('cth sp'!$M$114:$M$158,B67,'cth sp'!$N$114:$N$158)</f>
        <v>0</v>
      </c>
      <c r="H67" s="416">
        <f>SUMIF('cth sp'!$M$114:$M$158,B67,'cth sp'!$O$114:$O$158)</f>
        <v>0</v>
      </c>
      <c r="I67" s="416">
        <f>SUMIF('cth sp'!$M$159:$M$389,B67,'cth sp'!$N$159:$N$389)</f>
        <v>0</v>
      </c>
      <c r="J67" s="416">
        <f>SUMIF('cth sp'!$M$159:$M$389,B67,'cth sp'!$O$159:$O$389)</f>
        <v>0</v>
      </c>
      <c r="K67" s="416">
        <f t="shared" si="4"/>
        <v>1000000</v>
      </c>
      <c r="L67" s="416">
        <f t="shared" si="5"/>
        <v>1000000</v>
      </c>
      <c r="M67" s="416">
        <f t="shared" si="6"/>
        <v>1000000</v>
      </c>
      <c r="S67" s="553">
        <f t="shared" si="3"/>
        <v>0</v>
      </c>
    </row>
    <row r="68" spans="1:20" x14ac:dyDescent="0.25">
      <c r="A68" s="12">
        <v>59</v>
      </c>
      <c r="B68" s="12" t="s">
        <v>155</v>
      </c>
      <c r="C68" s="12" t="s">
        <v>382</v>
      </c>
      <c r="D68" s="416">
        <v>1000000</v>
      </c>
      <c r="E68" s="416">
        <f>SUMIF('cth sp'!$M$9:$M$107,B68,'cth sp'!$N$9:$N$107)</f>
        <v>0</v>
      </c>
      <c r="F68" s="416">
        <f>SUMIF('cth sp'!$M$9:$M$107,B68,'cth sp'!$O$9:$O$107)</f>
        <v>0</v>
      </c>
      <c r="G68" s="416">
        <f>SUMIF('cth sp'!$M$114:$M$158,B68,'cth sp'!$N$114:$N$158)</f>
        <v>0</v>
      </c>
      <c r="H68" s="416">
        <f>SUMIF('cth sp'!$M$114:$M$158,B68,'cth sp'!$O$114:$O$158)</f>
        <v>0</v>
      </c>
      <c r="I68" s="416">
        <f>SUMIF('cth sp'!$M$159:$M$389,B68,'cth sp'!$N$159:$N$389)</f>
        <v>0</v>
      </c>
      <c r="J68" s="416">
        <f>SUMIF('cth sp'!$M$159:$M$389,B68,'cth sp'!$O$159:$O$389)</f>
        <v>0</v>
      </c>
      <c r="K68" s="416">
        <f t="shared" si="4"/>
        <v>0</v>
      </c>
      <c r="L68" s="416">
        <f t="shared" si="5"/>
        <v>0</v>
      </c>
      <c r="M68" s="416">
        <f t="shared" si="6"/>
        <v>1000000</v>
      </c>
      <c r="P68" s="553">
        <v>90000</v>
      </c>
      <c r="Q68" s="553">
        <v>20000</v>
      </c>
      <c r="R68" s="553">
        <v>30000</v>
      </c>
      <c r="S68" s="553">
        <f t="shared" si="3"/>
        <v>140000</v>
      </c>
    </row>
    <row r="69" spans="1:20" x14ac:dyDescent="0.25">
      <c r="A69" s="12">
        <v>60</v>
      </c>
      <c r="B69" s="12" t="s">
        <v>156</v>
      </c>
      <c r="C69" s="12" t="s">
        <v>668</v>
      </c>
      <c r="D69" s="416">
        <v>1000000</v>
      </c>
      <c r="E69" s="416">
        <f>SUMIF('cth sp'!$M$9:$M$107,B69,'cth sp'!$N$9:$N$107)</f>
        <v>1000000</v>
      </c>
      <c r="F69" s="416">
        <f>SUMIF('cth sp'!$M$9:$M$107,B69,'cth sp'!$O$9:$O$107)</f>
        <v>1000000</v>
      </c>
      <c r="G69" s="416">
        <f>SUMIF('cth sp'!$M$114:$M$158,B69,'cth sp'!$N$114:$N$158)</f>
        <v>0</v>
      </c>
      <c r="H69" s="416">
        <f>SUMIF('cth sp'!$M$114:$M$158,B69,'cth sp'!$O$114:$O$158)</f>
        <v>0</v>
      </c>
      <c r="I69" s="416">
        <f>SUMIF('cth sp'!$M$159:$M$389,B69,'cth sp'!$N$159:$N$389)</f>
        <v>0</v>
      </c>
      <c r="J69" s="416">
        <f>SUMIF('cth sp'!$M$159:$M$389,B69,'cth sp'!$O$159:$O$389)</f>
        <v>0</v>
      </c>
      <c r="K69" s="416">
        <f t="shared" si="4"/>
        <v>1000000</v>
      </c>
      <c r="L69" s="416">
        <f t="shared" si="5"/>
        <v>1000000</v>
      </c>
      <c r="M69" s="416">
        <f t="shared" si="6"/>
        <v>1000000</v>
      </c>
      <c r="S69" s="553">
        <f t="shared" si="3"/>
        <v>0</v>
      </c>
    </row>
    <row r="70" spans="1:20" x14ac:dyDescent="0.25">
      <c r="A70" s="12">
        <v>61</v>
      </c>
      <c r="B70" s="12" t="s">
        <v>157</v>
      </c>
      <c r="C70" s="12" t="s">
        <v>384</v>
      </c>
      <c r="D70" s="416">
        <v>1000000</v>
      </c>
      <c r="E70" s="416">
        <f>SUMIF('cth sp'!$M$9:$M$107,B70,'cth sp'!$N$9:$N$107)</f>
        <v>0</v>
      </c>
      <c r="F70" s="416">
        <f>SUMIF('cth sp'!$M$9:$M$107,B70,'cth sp'!$O$9:$O$107)</f>
        <v>0</v>
      </c>
      <c r="G70" s="416">
        <f>SUMIF('cth sp'!$M$114:$M$158,B70,'cth sp'!$N$114:$N$158)</f>
        <v>0</v>
      </c>
      <c r="H70" s="416">
        <f>SUMIF('cth sp'!$M$114:$M$158,B70,'cth sp'!$O$114:$O$158)</f>
        <v>0</v>
      </c>
      <c r="I70" s="416">
        <f>SUMIF('cth sp'!$M$159:$M$389,B70,'cth sp'!$N$159:$N$389)</f>
        <v>0</v>
      </c>
      <c r="J70" s="416">
        <f>SUMIF('cth sp'!$M$159:$M$389,B70,'cth sp'!$O$159:$O$389)</f>
        <v>0</v>
      </c>
      <c r="K70" s="416">
        <f t="shared" si="4"/>
        <v>0</v>
      </c>
      <c r="L70" s="416">
        <f t="shared" si="5"/>
        <v>0</v>
      </c>
      <c r="M70" s="416">
        <f t="shared" si="6"/>
        <v>1000000</v>
      </c>
      <c r="P70" s="553">
        <v>180000</v>
      </c>
      <c r="Q70" s="553">
        <v>40000</v>
      </c>
      <c r="R70" s="553">
        <v>60000</v>
      </c>
      <c r="S70" s="553">
        <f t="shared" si="3"/>
        <v>280000</v>
      </c>
    </row>
    <row r="71" spans="1:20" x14ac:dyDescent="0.25">
      <c r="A71" s="12">
        <v>62</v>
      </c>
      <c r="B71" s="12" t="s">
        <v>158</v>
      </c>
      <c r="C71" s="12" t="s">
        <v>667</v>
      </c>
      <c r="D71" s="416">
        <v>1000000</v>
      </c>
      <c r="E71" s="416">
        <f>SUMIF('cth sp'!$M$9:$M$107,B71,'cth sp'!$N$9:$N$107)</f>
        <v>1000000</v>
      </c>
      <c r="F71" s="416">
        <f>SUMIF('cth sp'!$M$9:$M$107,B71,'cth sp'!$O$9:$O$107)</f>
        <v>1000000</v>
      </c>
      <c r="G71" s="416">
        <f>SUMIF('cth sp'!$M$114:$M$158,B71,'cth sp'!$N$114:$N$158)</f>
        <v>1000000</v>
      </c>
      <c r="H71" s="416">
        <f>SUMIF('cth sp'!$M$114:$M$158,B71,'cth sp'!$O$114:$O$158)</f>
        <v>1000000</v>
      </c>
      <c r="I71" s="416">
        <f>SUMIF('cth sp'!$M$159:$M$389,B71,'cth sp'!$N$159:$N$389)</f>
        <v>0</v>
      </c>
      <c r="J71" s="416">
        <f>SUMIF('cth sp'!$M$159:$M$389,B71,'cth sp'!$O$159:$O$389)</f>
        <v>0</v>
      </c>
      <c r="K71" s="416">
        <f t="shared" si="4"/>
        <v>2000000</v>
      </c>
      <c r="L71" s="416">
        <f t="shared" si="5"/>
        <v>2000000</v>
      </c>
      <c r="M71" s="416">
        <f t="shared" si="6"/>
        <v>1000000</v>
      </c>
      <c r="P71" s="553">
        <v>90000</v>
      </c>
      <c r="Q71" s="553">
        <v>20000</v>
      </c>
      <c r="R71" s="553">
        <v>30000</v>
      </c>
      <c r="S71" s="553">
        <f t="shared" si="3"/>
        <v>140000</v>
      </c>
      <c r="T71" s="553">
        <v>140000</v>
      </c>
    </row>
    <row r="72" spans="1:20" x14ac:dyDescent="0.25">
      <c r="A72" s="12">
        <v>63</v>
      </c>
      <c r="B72" s="12" t="s">
        <v>159</v>
      </c>
      <c r="C72" s="12" t="s">
        <v>386</v>
      </c>
      <c r="D72" s="416">
        <v>1000000</v>
      </c>
      <c r="E72" s="416">
        <f>SUMIF('cth sp'!$M$9:$M$107,B72,'cth sp'!$N$9:$N$107)</f>
        <v>0</v>
      </c>
      <c r="F72" s="416">
        <f>SUMIF('cth sp'!$M$9:$M$107,B72,'cth sp'!$O$9:$O$107)</f>
        <v>0</v>
      </c>
      <c r="G72" s="416">
        <f>SUMIF('cth sp'!$M$114:$M$158,B72,'cth sp'!$N$114:$N$158)</f>
        <v>0</v>
      </c>
      <c r="H72" s="416">
        <f>SUMIF('cth sp'!$M$114:$M$158,B72,'cth sp'!$O$114:$O$158)</f>
        <v>0</v>
      </c>
      <c r="I72" s="416">
        <f>SUMIF('cth sp'!$M$159:$M$389,B72,'cth sp'!$N$159:$N$389)</f>
        <v>0</v>
      </c>
      <c r="J72" s="416">
        <f>SUMIF('cth sp'!$M$159:$M$389,B72,'cth sp'!$O$159:$O$389)</f>
        <v>0</v>
      </c>
      <c r="K72" s="416">
        <f t="shared" si="4"/>
        <v>0</v>
      </c>
      <c r="L72" s="416">
        <f t="shared" si="5"/>
        <v>0</v>
      </c>
      <c r="M72" s="416">
        <f t="shared" si="6"/>
        <v>1000000</v>
      </c>
      <c r="S72" s="553">
        <f t="shared" si="3"/>
        <v>0</v>
      </c>
    </row>
    <row r="73" spans="1:20" x14ac:dyDescent="0.25">
      <c r="A73" s="12">
        <v>64</v>
      </c>
      <c r="B73" s="12" t="s">
        <v>160</v>
      </c>
      <c r="C73" s="12" t="s">
        <v>387</v>
      </c>
      <c r="D73" s="416">
        <v>1000000</v>
      </c>
      <c r="E73" s="416">
        <f>SUMIF('cth sp'!$M$9:$M$107,B73,'cth sp'!$N$9:$N$107)</f>
        <v>0</v>
      </c>
      <c r="F73" s="416">
        <f>SUMIF('cth sp'!$M$9:$M$107,B73,'cth sp'!$O$9:$O$107)</f>
        <v>0</v>
      </c>
      <c r="G73" s="416">
        <f>SUMIF('cth sp'!$M$114:$M$158,B73,'cth sp'!$N$114:$N$158)</f>
        <v>0</v>
      </c>
      <c r="H73" s="416">
        <f>SUMIF('cth sp'!$M$114:$M$158,B73,'cth sp'!$O$114:$O$158)</f>
        <v>0</v>
      </c>
      <c r="I73" s="416">
        <f>SUMIF('cth sp'!$M$159:$M$389,B73,'cth sp'!$N$159:$N$389)</f>
        <v>0</v>
      </c>
      <c r="J73" s="416">
        <f>SUMIF('cth sp'!$M$159:$M$389,B73,'cth sp'!$O$159:$O$389)</f>
        <v>0</v>
      </c>
      <c r="K73" s="416">
        <f t="shared" ref="K73:K84" si="7">E73+G73+I73</f>
        <v>0</v>
      </c>
      <c r="L73" s="416">
        <f t="shared" ref="L73:L84" si="8">F73+H73+J73</f>
        <v>0</v>
      </c>
      <c r="M73" s="416">
        <f t="shared" ref="M73:M84" si="9">D73+K73-L73</f>
        <v>1000000</v>
      </c>
      <c r="S73" s="553">
        <f t="shared" si="3"/>
        <v>0</v>
      </c>
    </row>
    <row r="74" spans="1:20" x14ac:dyDescent="0.25">
      <c r="A74" s="12">
        <v>65</v>
      </c>
      <c r="B74" s="12" t="s">
        <v>161</v>
      </c>
      <c r="C74" s="12" t="s">
        <v>687</v>
      </c>
      <c r="D74" s="416">
        <v>1000000</v>
      </c>
      <c r="E74" s="416">
        <f>SUMIF('cth sp'!$M$9:$M$107,B74,'cth sp'!$N$9:$N$107)</f>
        <v>1000000</v>
      </c>
      <c r="F74" s="416">
        <f>SUMIF('cth sp'!$M$9:$M$107,B74,'cth sp'!$O$9:$O$107)</f>
        <v>1000000</v>
      </c>
      <c r="G74" s="416">
        <f>SUMIF('cth sp'!$M$114:$M$158,B74,'cth sp'!$N$114:$N$158)</f>
        <v>1000000</v>
      </c>
      <c r="H74" s="416">
        <f>SUMIF('cth sp'!$M$114:$M$158,B74,'cth sp'!$O$114:$O$158)</f>
        <v>1000000</v>
      </c>
      <c r="I74" s="416">
        <f>SUMIF('cth sp'!$M$159:$M$389,B74,'cth sp'!$N$159:$N$389)</f>
        <v>0</v>
      </c>
      <c r="J74" s="416">
        <f>SUMIF('cth sp'!$M$159:$M$389,B74,'cth sp'!$O$159:$O$389)</f>
        <v>0</v>
      </c>
      <c r="K74" s="416">
        <f t="shared" si="7"/>
        <v>2000000</v>
      </c>
      <c r="L74" s="416">
        <f t="shared" si="8"/>
        <v>2000000</v>
      </c>
      <c r="M74" s="416">
        <f t="shared" si="9"/>
        <v>1000000</v>
      </c>
    </row>
    <row r="75" spans="1:20" x14ac:dyDescent="0.25">
      <c r="A75" s="12">
        <v>66</v>
      </c>
      <c r="B75" s="12" t="s">
        <v>162</v>
      </c>
      <c r="C75" s="12"/>
      <c r="D75" s="416">
        <v>0</v>
      </c>
      <c r="E75" s="416">
        <f>SUMIF('cth sp'!$M$9:$M$107,B75,'cth sp'!$N$9:$N$107)</f>
        <v>0</v>
      </c>
      <c r="F75" s="416">
        <f>SUMIF('cth sp'!$M$9:$M$107,B75,'cth sp'!$O$9:$O$107)</f>
        <v>0</v>
      </c>
      <c r="G75" s="416">
        <f>SUMIF('cth sp'!$M$114:$M$158,B75,'cth sp'!$N$114:$N$158)</f>
        <v>0</v>
      </c>
      <c r="H75" s="416">
        <f>SUMIF('cth sp'!$M$114:$M$158,B75,'cth sp'!$O$114:$O$158)</f>
        <v>0</v>
      </c>
      <c r="I75" s="416">
        <f>SUMIF('cth sp'!$M$159:$M$389,B75,'cth sp'!$N$159:$N$389)</f>
        <v>0</v>
      </c>
      <c r="J75" s="416">
        <f>SUMIF('cth sp'!$M$159:$M$389,B75,'cth sp'!$O$159:$O$389)</f>
        <v>0</v>
      </c>
      <c r="K75" s="416">
        <f t="shared" si="7"/>
        <v>0</v>
      </c>
      <c r="L75" s="416">
        <f t="shared" si="8"/>
        <v>0</v>
      </c>
      <c r="M75" s="416">
        <f t="shared" si="9"/>
        <v>0</v>
      </c>
    </row>
    <row r="76" spans="1:20" x14ac:dyDescent="0.25">
      <c r="A76" s="12">
        <v>67</v>
      </c>
      <c r="B76" s="12"/>
      <c r="C76" s="12"/>
      <c r="D76" s="416">
        <v>0</v>
      </c>
      <c r="E76" s="416">
        <f>SUMIF('cth sp'!$M$9:$M$107,B76,'cth sp'!$N$9:$N$107)</f>
        <v>0</v>
      </c>
      <c r="F76" s="416">
        <f>SUMIF('cth sp'!$M$9:$M$107,B76,'cth sp'!$O$9:$O$107)</f>
        <v>0</v>
      </c>
      <c r="G76" s="416">
        <f>SUMIF('cth sp'!$M$114:$M$158,B76,'cth sp'!$N$114:$N$158)</f>
        <v>0</v>
      </c>
      <c r="H76" s="416">
        <f>SUMIF('cth sp'!$M$114:$M$158,B76,'cth sp'!$O$114:$O$158)</f>
        <v>0</v>
      </c>
      <c r="I76" s="416"/>
      <c r="J76" s="416"/>
      <c r="K76" s="416">
        <f>E76+G76+I76</f>
        <v>0</v>
      </c>
      <c r="L76" s="416">
        <f t="shared" si="8"/>
        <v>0</v>
      </c>
      <c r="M76" s="416">
        <f t="shared" si="9"/>
        <v>0</v>
      </c>
    </row>
    <row r="77" spans="1:20" x14ac:dyDescent="0.25">
      <c r="A77" s="12">
        <v>68</v>
      </c>
      <c r="B77" s="12"/>
      <c r="C77" s="12"/>
      <c r="D77" s="416">
        <v>0</v>
      </c>
      <c r="E77" s="416">
        <f>SUMIF('cth sp'!$M$9:$M$107,B77,'cth sp'!$N$9:$N$107)</f>
        <v>0</v>
      </c>
      <c r="F77" s="416">
        <f>SUMIF('cth sp'!$M$9:$M$107,B77,'cth sp'!$O$9:$O$107)</f>
        <v>0</v>
      </c>
      <c r="G77" s="416">
        <f>SUMIF('cth sp'!$M$114:$M$158,B77,'cth sp'!$N$114:$N$158)</f>
        <v>0</v>
      </c>
      <c r="H77" s="416">
        <f>SUMIF('cth sp'!$M$114:$M$158,B77,'cth sp'!$O$114:$O$158)</f>
        <v>0</v>
      </c>
      <c r="I77" s="416"/>
      <c r="J77" s="416"/>
      <c r="K77" s="416">
        <f t="shared" si="7"/>
        <v>0</v>
      </c>
      <c r="L77" s="416">
        <f t="shared" si="8"/>
        <v>0</v>
      </c>
      <c r="M77" s="416">
        <f t="shared" si="9"/>
        <v>0</v>
      </c>
    </row>
    <row r="78" spans="1:20" x14ac:dyDescent="0.25">
      <c r="A78" s="12">
        <v>69</v>
      </c>
      <c r="B78" s="12"/>
      <c r="C78" s="12"/>
      <c r="D78" s="416">
        <v>0</v>
      </c>
      <c r="E78" s="416">
        <f>SUMIF('cth sp'!$M$9:$M$107,B78,'cth sp'!$N$9:$N$107)</f>
        <v>0</v>
      </c>
      <c r="F78" s="416">
        <f>SUMIF('cth sp'!$M$9:$M$107,B78,'cth sp'!$O$9:$O$107)</f>
        <v>0</v>
      </c>
      <c r="G78" s="416">
        <f>SUMIF('cth sp'!$M$114:$M$158,B78,'cth sp'!$N$114:$N$158)</f>
        <v>0</v>
      </c>
      <c r="H78" s="416">
        <f>SUMIF('cth sp'!$M$114:$M$158,B78,'cth sp'!$O$114:$O$158)</f>
        <v>0</v>
      </c>
      <c r="I78" s="416"/>
      <c r="J78" s="416"/>
      <c r="K78" s="416">
        <f t="shared" si="7"/>
        <v>0</v>
      </c>
      <c r="L78" s="416">
        <f t="shared" si="8"/>
        <v>0</v>
      </c>
      <c r="M78" s="416">
        <f t="shared" si="9"/>
        <v>0</v>
      </c>
    </row>
    <row r="79" spans="1:20" x14ac:dyDescent="0.25">
      <c r="A79" s="12">
        <v>70</v>
      </c>
      <c r="B79" s="12"/>
      <c r="C79" s="12"/>
      <c r="D79" s="416">
        <v>0</v>
      </c>
      <c r="E79" s="416">
        <f>SUMIF('cth sp'!$M$9:$M$107,B79,'cth sp'!$N$9:$N$107)</f>
        <v>0</v>
      </c>
      <c r="F79" s="416">
        <f>SUMIF('cth sp'!$M$9:$M$107,B79,'cth sp'!$O$9:$O$107)</f>
        <v>0</v>
      </c>
      <c r="G79" s="416">
        <f>SUMIF('cth sp'!$M$114:$M$158,B79,'cth sp'!$N$114:$N$158)</f>
        <v>0</v>
      </c>
      <c r="H79" s="416">
        <f>SUMIF('cth sp'!$M$114:$M$158,B79,'cth sp'!$O$114:$O$158)</f>
        <v>0</v>
      </c>
      <c r="I79" s="416"/>
      <c r="J79" s="416"/>
      <c r="K79" s="416">
        <f t="shared" si="7"/>
        <v>0</v>
      </c>
      <c r="L79" s="416">
        <f t="shared" si="8"/>
        <v>0</v>
      </c>
      <c r="M79" s="416">
        <f t="shared" si="9"/>
        <v>0</v>
      </c>
    </row>
    <row r="80" spans="1:20" x14ac:dyDescent="0.25">
      <c r="A80" s="12">
        <v>71</v>
      </c>
      <c r="B80" s="12"/>
      <c r="C80" s="12"/>
      <c r="D80" s="416">
        <v>0</v>
      </c>
      <c r="E80" s="416">
        <f>SUMIF('cth sp'!$M$9:$M$107,B80,'cth sp'!$N$9:$N$107)</f>
        <v>0</v>
      </c>
      <c r="F80" s="416">
        <f>SUMIF('cth sp'!$M$9:$M$107,B80,'cth sp'!$O$9:$O$107)</f>
        <v>0</v>
      </c>
      <c r="G80" s="416">
        <f>SUMIF('cth sp'!$M$114:$M$158,B80,'cth sp'!$N$114:$N$158)</f>
        <v>0</v>
      </c>
      <c r="H80" s="416">
        <f>SUMIF('cth sp'!$M$114:$M$158,B80,'cth sp'!$O$114:$O$158)</f>
        <v>0</v>
      </c>
      <c r="I80" s="416"/>
      <c r="J80" s="416"/>
      <c r="K80" s="416">
        <f t="shared" si="7"/>
        <v>0</v>
      </c>
      <c r="L80" s="416">
        <f t="shared" si="8"/>
        <v>0</v>
      </c>
      <c r="M80" s="416">
        <f t="shared" si="9"/>
        <v>0</v>
      </c>
    </row>
    <row r="81" spans="1:20" x14ac:dyDescent="0.25">
      <c r="A81" s="12">
        <v>72</v>
      </c>
      <c r="B81" s="12"/>
      <c r="C81" s="12"/>
      <c r="D81" s="416">
        <v>0</v>
      </c>
      <c r="E81" s="416">
        <f>SUMIF('cth sp'!$M$9:$M$107,B81,'cth sp'!$N$9:$N$107)</f>
        <v>0</v>
      </c>
      <c r="F81" s="416">
        <f>SUMIF('cth sp'!$M$9:$M$107,B81,'cth sp'!$O$9:$O$107)</f>
        <v>0</v>
      </c>
      <c r="G81" s="416">
        <f>SUMIF('cth sp'!$M$114:$M$158,B81,'cth sp'!$N$114:$N$158)</f>
        <v>0</v>
      </c>
      <c r="H81" s="416">
        <f>SUMIF('cth sp'!$M$114:$M$158,B81,'cth sp'!$O$114:$O$158)</f>
        <v>0</v>
      </c>
      <c r="I81" s="416"/>
      <c r="J81" s="416"/>
      <c r="K81" s="416">
        <f t="shared" si="7"/>
        <v>0</v>
      </c>
      <c r="L81" s="416">
        <f t="shared" si="8"/>
        <v>0</v>
      </c>
      <c r="M81" s="416">
        <f t="shared" si="9"/>
        <v>0</v>
      </c>
    </row>
    <row r="82" spans="1:20" x14ac:dyDescent="0.25">
      <c r="A82" s="12">
        <v>73</v>
      </c>
      <c r="B82" s="12"/>
      <c r="C82" s="12"/>
      <c r="D82" s="416">
        <v>0</v>
      </c>
      <c r="E82" s="416">
        <f>SUMIF('cth sp'!$M$9:$M$107,B82,'cth sp'!$N$9:$N$107)</f>
        <v>0</v>
      </c>
      <c r="F82" s="416">
        <f>SUMIF('cth sp'!$M$9:$M$107,B82,'cth sp'!$O$9:$O$107)</f>
        <v>0</v>
      </c>
      <c r="G82" s="416">
        <f>SUMIF('cth sp'!$M$114:$M$158,B82,'cth sp'!$N$114:$N$158)</f>
        <v>0</v>
      </c>
      <c r="H82" s="416">
        <f>SUMIF('cth sp'!$M$114:$M$158,B82,'cth sp'!$O$114:$O$158)</f>
        <v>0</v>
      </c>
      <c r="I82" s="416"/>
      <c r="J82" s="416"/>
      <c r="K82" s="416">
        <f t="shared" si="7"/>
        <v>0</v>
      </c>
      <c r="L82" s="416">
        <f t="shared" si="8"/>
        <v>0</v>
      </c>
      <c r="M82" s="416">
        <f t="shared" si="9"/>
        <v>0</v>
      </c>
    </row>
    <row r="83" spans="1:20" x14ac:dyDescent="0.25">
      <c r="A83" s="12">
        <v>74</v>
      </c>
      <c r="B83" s="12"/>
      <c r="C83" s="12"/>
      <c r="D83" s="416">
        <v>0</v>
      </c>
      <c r="E83" s="416">
        <f>SUMIF('cth sp'!$M$9:$M$107,B83,'cth sp'!$N$9:$N$107)</f>
        <v>0</v>
      </c>
      <c r="F83" s="416">
        <f>SUMIF('cth sp'!$M$9:$M$107,B83,'cth sp'!$O$9:$O$107)</f>
        <v>0</v>
      </c>
      <c r="G83" s="416">
        <f>SUMIF('cth sp'!$M$114:$M$158,B83,'cth sp'!$N$114:$N$158)</f>
        <v>0</v>
      </c>
      <c r="H83" s="416">
        <f>SUMIF('cth sp'!$M$114:$M$158,B83,'cth sp'!$O$114:$O$158)</f>
        <v>0</v>
      </c>
      <c r="I83" s="416"/>
      <c r="J83" s="416"/>
      <c r="K83" s="416">
        <f t="shared" si="7"/>
        <v>0</v>
      </c>
      <c r="L83" s="416">
        <f t="shared" si="8"/>
        <v>0</v>
      </c>
      <c r="M83" s="416">
        <f t="shared" si="9"/>
        <v>0</v>
      </c>
    </row>
    <row r="84" spans="1:20" x14ac:dyDescent="0.25">
      <c r="A84" s="12">
        <v>75</v>
      </c>
      <c r="B84" s="12"/>
      <c r="C84" s="12"/>
      <c r="D84" s="416">
        <v>0</v>
      </c>
      <c r="E84" s="416">
        <f>SUMIF('cth sp'!$M$9:$M$107,B84,'cth sp'!$N$9:$N$107)</f>
        <v>0</v>
      </c>
      <c r="F84" s="416">
        <f>SUMIF('cth sp'!$M$9:$M$107,B84,'cth sp'!$O$9:$O$107)</f>
        <v>0</v>
      </c>
      <c r="G84" s="416">
        <f>SUMIF('cth sp'!$M$114:$M$158,B84,'cth sp'!$N$114:$N$158)</f>
        <v>0</v>
      </c>
      <c r="H84" s="416">
        <f>SUMIF('cth sp'!$M$114:$M$158,B84,'cth sp'!$O$114:$O$158)</f>
        <v>0</v>
      </c>
      <c r="I84" s="416"/>
      <c r="J84" s="416"/>
      <c r="K84" s="416">
        <f t="shared" si="7"/>
        <v>0</v>
      </c>
      <c r="L84" s="416">
        <f t="shared" si="8"/>
        <v>0</v>
      </c>
      <c r="M84" s="416">
        <f t="shared" si="9"/>
        <v>0</v>
      </c>
    </row>
    <row r="85" spans="1:20" s="121" customFormat="1" x14ac:dyDescent="0.25">
      <c r="A85" s="11"/>
      <c r="B85" s="11"/>
      <c r="C85" s="11"/>
      <c r="D85" s="11">
        <f>SUM(D9:D84)</f>
        <v>95000000</v>
      </c>
      <c r="E85" s="11">
        <f>SUM(E9:E84)</f>
        <v>20000000</v>
      </c>
      <c r="F85" s="11">
        <f t="shared" ref="F85:J85" si="10">SUM(F9:F84)</f>
        <v>25000000</v>
      </c>
      <c r="G85" s="11">
        <f t="shared" si="10"/>
        <v>8000000</v>
      </c>
      <c r="H85" s="11">
        <f t="shared" si="10"/>
        <v>9000000</v>
      </c>
      <c r="I85" s="11">
        <f t="shared" si="10"/>
        <v>0</v>
      </c>
      <c r="J85" s="11">
        <f t="shared" si="10"/>
        <v>0</v>
      </c>
      <c r="K85" s="11">
        <f>SUM(K10:K84)</f>
        <v>28000000</v>
      </c>
      <c r="L85" s="11">
        <f>SUM(L10:L84)</f>
        <v>29000000</v>
      </c>
      <c r="M85" s="11">
        <f>SUM(M10:M84)</f>
        <v>61000000</v>
      </c>
      <c r="O85" s="11">
        <f t="shared" ref="O85:T85" si="11">SUM(O10:O84)</f>
        <v>2670000</v>
      </c>
      <c r="P85" s="11">
        <f t="shared" si="11"/>
        <v>3400000</v>
      </c>
      <c r="Q85" s="11">
        <f t="shared" si="11"/>
        <v>740000</v>
      </c>
      <c r="R85" s="11">
        <f t="shared" si="11"/>
        <v>1110000</v>
      </c>
      <c r="S85" s="11">
        <f t="shared" si="11"/>
        <v>7920000</v>
      </c>
      <c r="T85" s="11">
        <f t="shared" si="11"/>
        <v>3780000</v>
      </c>
    </row>
    <row r="86" spans="1:20" x14ac:dyDescent="0.25">
      <c r="A86" s="10"/>
      <c r="B86" s="10"/>
      <c r="C86" s="10"/>
      <c r="D86" s="11"/>
      <c r="E86" s="11">
        <f>E85-50000000</f>
        <v>-30000000</v>
      </c>
      <c r="F86" s="11">
        <f>F85-50000000</f>
        <v>-25000000</v>
      </c>
      <c r="G86" s="11"/>
      <c r="H86" s="11">
        <f>H85-15000000</f>
        <v>-6000000</v>
      </c>
      <c r="I86" s="960"/>
      <c r="J86" s="10"/>
      <c r="K86" s="11"/>
      <c r="L86" s="11"/>
      <c r="M86" s="961">
        <f>SUM(M10:M84)+M9</f>
        <v>89000000</v>
      </c>
      <c r="N86" s="122"/>
      <c r="O86" s="553">
        <f>O85+P85+Q85+R85</f>
        <v>7920000</v>
      </c>
      <c r="S86" s="819">
        <f>7920000-S85</f>
        <v>0</v>
      </c>
    </row>
    <row r="88" spans="1:20" x14ac:dyDescent="0.25">
      <c r="J88" s="406" t="str">
        <f>'PERUBAHAN MODAL'!D24</f>
        <v>Balongbesuk, 15 Januari 2025</v>
      </c>
    </row>
    <row r="89" spans="1:20" x14ac:dyDescent="0.25">
      <c r="H89" s="121" t="str">
        <f>tabungan!I172</f>
        <v>Balongbesuk, 15 Januari 2025</v>
      </c>
      <c r="J89" s="122" t="str">
        <f>BANK!D26</f>
        <v>Dibuat Oleh;</v>
      </c>
    </row>
    <row r="90" spans="1:20" x14ac:dyDescent="0.25">
      <c r="C90" s="406" t="str">
        <f>tabungan!C173</f>
        <v>Mengetahui</v>
      </c>
      <c r="H90" s="121" t="str">
        <f>tabungan!I173</f>
        <v>Dilaporkan Oleh</v>
      </c>
    </row>
    <row r="91" spans="1:20" x14ac:dyDescent="0.25">
      <c r="H91" s="121" t="str">
        <f>tabungan!I174</f>
        <v>kepala Unit Simpan Pinjam</v>
      </c>
    </row>
    <row r="94" spans="1:20" x14ac:dyDescent="0.25">
      <c r="F94" s="962"/>
      <c r="J94" s="963" t="str">
        <f>BANK!D30</f>
        <v>MAMIK KURNIAWATI</v>
      </c>
    </row>
    <row r="95" spans="1:20" ht="17.25" x14ac:dyDescent="0.4">
      <c r="C95" s="949" t="str">
        <f>tabungan!C178</f>
        <v>DODIK SUSANTO, S.Fil.I</v>
      </c>
      <c r="H95" s="964" t="str">
        <f>tabungan!I178</f>
        <v>ERA PUSPITA SARI</v>
      </c>
      <c r="J95" s="122" t="str">
        <f>BANK!D31</f>
        <v>Bendahara BUMDesa "BAROKAH"</v>
      </c>
    </row>
    <row r="96" spans="1:20" x14ac:dyDescent="0.25">
      <c r="C96" s="406" t="str">
        <f>tabungan!C179</f>
        <v>Direktur BUMDES</v>
      </c>
    </row>
  </sheetData>
  <autoFilter ref="A8:T86"/>
  <mergeCells count="11">
    <mergeCell ref="G7:H7"/>
    <mergeCell ref="I7:J7"/>
    <mergeCell ref="M6:M8"/>
    <mergeCell ref="E6:J6"/>
    <mergeCell ref="K6:K8"/>
    <mergeCell ref="L6:L8"/>
    <mergeCell ref="A6:A8"/>
    <mergeCell ref="B6:B8"/>
    <mergeCell ref="C6:C8"/>
    <mergeCell ref="D6:D8"/>
    <mergeCell ref="E7:F7"/>
  </mergeCells>
  <pageMargins left="0.70866141732283505" right="0.70866141732283505" top="0.74803149606299202" bottom="0.5" header="0.31496062992126" footer="0.31496062992126"/>
  <pageSetup paperSize="9" scale="75" orientation="landscape" r:id="rId1"/>
  <rowBreaks count="2" manualBreakCount="2">
    <brk id="34" max="16383" man="1"/>
    <brk id="68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P28"/>
  <sheetViews>
    <sheetView view="pageBreakPreview" topLeftCell="E22" zoomScale="154" zoomScaleNormal="100" zoomScaleSheetLayoutView="154" workbookViewId="0">
      <selection activeCell="F25" sqref="F25"/>
    </sheetView>
  </sheetViews>
  <sheetFormatPr defaultRowHeight="22.5" customHeight="1" x14ac:dyDescent="0.25"/>
  <cols>
    <col min="1" max="1" width="15.5703125" style="799" customWidth="1"/>
    <col min="2" max="2" width="9.140625" style="799"/>
    <col min="3" max="3" width="14.42578125" style="799" customWidth="1"/>
    <col min="4" max="4" width="44.42578125" style="799" customWidth="1"/>
    <col min="5" max="5" width="19.140625" style="800" bestFit="1" customWidth="1"/>
    <col min="6" max="6" width="18.42578125" style="799" customWidth="1"/>
    <col min="7" max="7" width="18.42578125" style="800" customWidth="1"/>
    <col min="8" max="12" width="18.42578125" style="799" customWidth="1"/>
    <col min="13" max="13" width="8.140625" style="799" customWidth="1"/>
    <col min="14" max="16" width="14.42578125" style="802" customWidth="1"/>
    <col min="17" max="16384" width="9.140625" style="799"/>
  </cols>
  <sheetData>
    <row r="1" spans="1:16" ht="22.5" customHeight="1" x14ac:dyDescent="0.25">
      <c r="A1" s="795" t="s">
        <v>18</v>
      </c>
      <c r="B1" s="796"/>
      <c r="C1" s="796"/>
      <c r="D1" s="797"/>
      <c r="E1" s="798"/>
      <c r="J1" s="801"/>
    </row>
    <row r="2" spans="1:16" ht="22.5" customHeight="1" x14ac:dyDescent="0.25">
      <c r="A2" s="795" t="s">
        <v>237</v>
      </c>
      <c r="B2" s="796"/>
      <c r="C2" s="796"/>
      <c r="D2" s="797"/>
      <c r="E2" s="798"/>
      <c r="I2" s="803"/>
      <c r="J2" s="801"/>
      <c r="K2" s="803"/>
    </row>
    <row r="3" spans="1:16" ht="22.5" customHeight="1" x14ac:dyDescent="0.25">
      <c r="A3" s="795" t="str">
        <f>'sum sp'!B3</f>
        <v>TAHUN ANGGARAN 2025</v>
      </c>
      <c r="B3" s="796"/>
      <c r="C3" s="796"/>
      <c r="D3" s="797"/>
      <c r="E3" s="798"/>
      <c r="I3" s="803"/>
      <c r="J3" s="801"/>
      <c r="K3" s="803"/>
    </row>
    <row r="4" spans="1:16" ht="22.5" customHeight="1" x14ac:dyDescent="0.25">
      <c r="A4" s="795" t="s">
        <v>590</v>
      </c>
      <c r="B4" s="796"/>
      <c r="C4" s="796"/>
      <c r="D4" s="797"/>
      <c r="E4" s="798"/>
      <c r="H4" s="799">
        <v>3253850</v>
      </c>
      <c r="I4" s="803"/>
      <c r="J4" s="801"/>
      <c r="K4" s="803"/>
    </row>
    <row r="5" spans="1:16" ht="22.5" customHeight="1" x14ac:dyDescent="0.25">
      <c r="B5" s="796"/>
      <c r="C5" s="796"/>
      <c r="D5" s="797"/>
      <c r="E5" s="798"/>
      <c r="H5" s="799">
        <f>H4-100000</f>
        <v>3153850</v>
      </c>
    </row>
    <row r="6" spans="1:16" ht="22.5" customHeight="1" x14ac:dyDescent="0.25">
      <c r="A6" s="862" t="s">
        <v>19</v>
      </c>
      <c r="B6" s="867" t="s">
        <v>9</v>
      </c>
      <c r="C6" s="766" t="s">
        <v>197</v>
      </c>
      <c r="D6" s="869" t="s">
        <v>20</v>
      </c>
      <c r="E6" s="871" t="s">
        <v>357</v>
      </c>
      <c r="F6" s="872"/>
      <c r="G6" s="862" t="s">
        <v>0</v>
      </c>
      <c r="H6" s="862"/>
      <c r="I6" s="862"/>
      <c r="J6" s="862" t="s">
        <v>1</v>
      </c>
      <c r="K6" s="862"/>
      <c r="L6" s="862"/>
      <c r="M6" s="863" t="s">
        <v>639</v>
      </c>
      <c r="N6" s="864"/>
      <c r="O6" s="864"/>
      <c r="P6" s="865"/>
    </row>
    <row r="7" spans="1:16" ht="22.5" customHeight="1" x14ac:dyDescent="0.25">
      <c r="A7" s="866"/>
      <c r="B7" s="868"/>
      <c r="C7" s="767"/>
      <c r="D7" s="870"/>
      <c r="E7" s="768" t="s">
        <v>11</v>
      </c>
      <c r="F7" s="769" t="s">
        <v>12</v>
      </c>
      <c r="G7" s="770" t="s">
        <v>11</v>
      </c>
      <c r="H7" s="771" t="s">
        <v>12</v>
      </c>
      <c r="I7" s="771" t="s">
        <v>21</v>
      </c>
      <c r="J7" s="771" t="s">
        <v>11</v>
      </c>
      <c r="K7" s="771" t="s">
        <v>12</v>
      </c>
      <c r="L7" s="771" t="s">
        <v>21</v>
      </c>
      <c r="M7" s="771"/>
      <c r="N7" s="772" t="s">
        <v>11</v>
      </c>
      <c r="O7" s="772" t="s">
        <v>12</v>
      </c>
      <c r="P7" s="772" t="s">
        <v>21</v>
      </c>
    </row>
    <row r="8" spans="1:16" ht="22.5" customHeight="1" x14ac:dyDescent="0.25">
      <c r="A8" s="773">
        <v>45658</v>
      </c>
      <c r="B8" s="774"/>
      <c r="C8" s="774"/>
      <c r="D8" s="775" t="s">
        <v>749</v>
      </c>
      <c r="E8" s="209">
        <v>3253850</v>
      </c>
      <c r="F8" s="776"/>
      <c r="G8" s="209">
        <v>3153850</v>
      </c>
      <c r="H8" s="776"/>
      <c r="I8" s="776">
        <f>G8-H8</f>
        <v>3153850</v>
      </c>
      <c r="J8" s="777">
        <v>100000</v>
      </c>
      <c r="K8" s="778"/>
      <c r="L8" s="776">
        <f>J8-K8</f>
        <v>100000</v>
      </c>
      <c r="M8" s="776"/>
      <c r="N8" s="777"/>
      <c r="O8" s="778"/>
      <c r="P8" s="776">
        <f>N8-O8</f>
        <v>0</v>
      </c>
    </row>
    <row r="9" spans="1:16" ht="22.5" customHeight="1" x14ac:dyDescent="0.25">
      <c r="A9" s="779">
        <v>45658</v>
      </c>
      <c r="B9" s="780">
        <v>5102</v>
      </c>
      <c r="C9" s="781"/>
      <c r="D9" s="775" t="s">
        <v>96</v>
      </c>
      <c r="E9" s="782"/>
      <c r="F9" s="782">
        <v>300000</v>
      </c>
      <c r="G9" s="782"/>
      <c r="H9" s="776">
        <v>300000</v>
      </c>
      <c r="I9" s="776">
        <f>I8+G9-H9</f>
        <v>2853850</v>
      </c>
      <c r="J9" s="777"/>
      <c r="K9" s="778"/>
      <c r="L9" s="776">
        <f>L8+J9-K9</f>
        <v>100000</v>
      </c>
      <c r="M9" s="783"/>
      <c r="N9" s="777"/>
      <c r="O9" s="782"/>
      <c r="P9" s="776">
        <f>P8+N9-O9</f>
        <v>0</v>
      </c>
    </row>
    <row r="10" spans="1:16" ht="22.5" customHeight="1" x14ac:dyDescent="0.25">
      <c r="A10" s="779"/>
      <c r="B10" s="98">
        <v>5109</v>
      </c>
      <c r="C10" s="781"/>
      <c r="D10" s="775" t="s">
        <v>925</v>
      </c>
      <c r="E10" s="782"/>
      <c r="F10" s="782">
        <v>2434850</v>
      </c>
      <c r="G10" s="782"/>
      <c r="H10" s="782">
        <v>2434850</v>
      </c>
      <c r="I10" s="776">
        <f t="shared" ref="I10:I25" si="0">I9+G10-H10</f>
        <v>419000</v>
      </c>
      <c r="J10" s="777"/>
      <c r="K10" s="778"/>
      <c r="L10" s="776"/>
      <c r="M10" s="783"/>
      <c r="N10" s="777"/>
      <c r="O10" s="782"/>
      <c r="P10" s="776"/>
    </row>
    <row r="11" spans="1:16" ht="22.5" customHeight="1" x14ac:dyDescent="0.25">
      <c r="A11" s="779" t="s">
        <v>839</v>
      </c>
      <c r="B11" s="38">
        <v>2001</v>
      </c>
      <c r="C11" s="781" t="s">
        <v>835</v>
      </c>
      <c r="D11" s="775" t="s">
        <v>836</v>
      </c>
      <c r="E11" s="782">
        <v>1000000</v>
      </c>
      <c r="F11" s="782"/>
      <c r="G11" s="782">
        <v>1000000</v>
      </c>
      <c r="H11" s="782"/>
      <c r="I11" s="776">
        <f t="shared" si="0"/>
        <v>1419000</v>
      </c>
      <c r="J11" s="777"/>
      <c r="K11" s="778"/>
      <c r="L11" s="776" t="e">
        <f>#REF!+J11-K11</f>
        <v>#REF!</v>
      </c>
      <c r="M11" s="783"/>
      <c r="N11" s="777"/>
      <c r="O11" s="782"/>
      <c r="P11" s="776"/>
    </row>
    <row r="12" spans="1:16" ht="22.5" customHeight="1" x14ac:dyDescent="0.25">
      <c r="A12" s="779" t="s">
        <v>839</v>
      </c>
      <c r="B12" s="38">
        <v>2001</v>
      </c>
      <c r="C12" s="781" t="s">
        <v>838</v>
      </c>
      <c r="D12" s="775" t="s">
        <v>837</v>
      </c>
      <c r="E12" s="782">
        <v>1500000</v>
      </c>
      <c r="F12" s="782"/>
      <c r="G12" s="782">
        <v>1500000</v>
      </c>
      <c r="H12" s="782"/>
      <c r="I12" s="776">
        <f t="shared" si="0"/>
        <v>2919000</v>
      </c>
      <c r="J12" s="777"/>
      <c r="K12" s="778"/>
      <c r="L12" s="776" t="e">
        <f t="shared" ref="L12:L20" si="1">L11+J12-K12</f>
        <v>#REF!</v>
      </c>
      <c r="M12" s="783"/>
      <c r="N12" s="777"/>
      <c r="O12" s="782"/>
      <c r="P12" s="776"/>
    </row>
    <row r="13" spans="1:16" ht="22.5" customHeight="1" x14ac:dyDescent="0.25">
      <c r="A13" s="779" t="s">
        <v>840</v>
      </c>
      <c r="B13" s="98">
        <v>5201</v>
      </c>
      <c r="C13" s="781" t="s">
        <v>841</v>
      </c>
      <c r="D13" s="775" t="s">
        <v>863</v>
      </c>
      <c r="E13" s="782"/>
      <c r="F13" s="782">
        <v>1200000</v>
      </c>
      <c r="G13" s="782"/>
      <c r="H13" s="782">
        <v>1200000</v>
      </c>
      <c r="I13" s="776">
        <f t="shared" si="0"/>
        <v>1719000</v>
      </c>
      <c r="J13" s="777"/>
      <c r="K13" s="778"/>
      <c r="L13" s="776" t="e">
        <f t="shared" si="1"/>
        <v>#REF!</v>
      </c>
      <c r="M13" s="783"/>
      <c r="N13" s="777"/>
      <c r="O13" s="782"/>
      <c r="P13" s="776"/>
    </row>
    <row r="14" spans="1:16" ht="22.5" customHeight="1" x14ac:dyDescent="0.25">
      <c r="A14" s="779" t="s">
        <v>828</v>
      </c>
      <c r="B14" s="38">
        <v>2001</v>
      </c>
      <c r="C14" s="781" t="s">
        <v>844</v>
      </c>
      <c r="D14" s="775" t="s">
        <v>842</v>
      </c>
      <c r="E14" s="782">
        <v>4000000</v>
      </c>
      <c r="F14" s="782"/>
      <c r="G14" s="782">
        <v>4000000</v>
      </c>
      <c r="H14" s="782"/>
      <c r="I14" s="776">
        <f t="shared" si="0"/>
        <v>5719000</v>
      </c>
      <c r="J14" s="777"/>
      <c r="K14" s="778"/>
      <c r="L14" s="776" t="e">
        <f t="shared" si="1"/>
        <v>#REF!</v>
      </c>
      <c r="M14" s="783"/>
      <c r="N14" s="777"/>
      <c r="O14" s="782"/>
      <c r="P14" s="776"/>
    </row>
    <row r="15" spans="1:16" ht="22.5" customHeight="1" x14ac:dyDescent="0.25">
      <c r="A15" s="779" t="s">
        <v>829</v>
      </c>
      <c r="B15" s="38">
        <v>2001</v>
      </c>
      <c r="C15" s="781" t="s">
        <v>591</v>
      </c>
      <c r="D15" s="775" t="s">
        <v>843</v>
      </c>
      <c r="E15" s="782">
        <v>1000000</v>
      </c>
      <c r="F15" s="782"/>
      <c r="G15" s="782">
        <v>1000000</v>
      </c>
      <c r="H15" s="782"/>
      <c r="I15" s="776">
        <f t="shared" si="0"/>
        <v>6719000</v>
      </c>
      <c r="J15" s="777"/>
      <c r="K15" s="778"/>
      <c r="L15" s="776" t="e">
        <f t="shared" si="1"/>
        <v>#REF!</v>
      </c>
      <c r="M15" s="783"/>
      <c r="N15" s="777"/>
      <c r="O15" s="782"/>
      <c r="P15" s="776"/>
    </row>
    <row r="16" spans="1:16" ht="22.5" customHeight="1" x14ac:dyDescent="0.25">
      <c r="A16" s="779" t="s">
        <v>830</v>
      </c>
      <c r="B16" s="98">
        <v>5102</v>
      </c>
      <c r="C16" s="781"/>
      <c r="D16" s="781" t="s">
        <v>845</v>
      </c>
      <c r="E16" s="782"/>
      <c r="F16" s="782">
        <v>1000000</v>
      </c>
      <c r="G16" s="782"/>
      <c r="H16" s="782">
        <v>1000000</v>
      </c>
      <c r="I16" s="776">
        <f t="shared" si="0"/>
        <v>5719000</v>
      </c>
      <c r="J16" s="777"/>
      <c r="K16" s="778"/>
      <c r="L16" s="776" t="e">
        <f t="shared" si="1"/>
        <v>#REF!</v>
      </c>
      <c r="M16" s="783"/>
      <c r="N16" s="777"/>
      <c r="O16" s="782"/>
      <c r="P16" s="776"/>
    </row>
    <row r="17" spans="1:16" ht="22.5" customHeight="1" x14ac:dyDescent="0.25">
      <c r="A17" s="779" t="s">
        <v>831</v>
      </c>
      <c r="B17" s="38">
        <v>2001</v>
      </c>
      <c r="C17" s="781" t="s">
        <v>848</v>
      </c>
      <c r="D17" s="781" t="s">
        <v>846</v>
      </c>
      <c r="E17" s="782">
        <v>3000000</v>
      </c>
      <c r="F17" s="782"/>
      <c r="G17" s="782">
        <v>3000000</v>
      </c>
      <c r="H17" s="782"/>
      <c r="I17" s="776">
        <f t="shared" si="0"/>
        <v>8719000</v>
      </c>
      <c r="J17" s="777"/>
      <c r="K17" s="778"/>
      <c r="L17" s="776" t="e">
        <f t="shared" si="1"/>
        <v>#REF!</v>
      </c>
      <c r="M17" s="783"/>
      <c r="N17" s="777"/>
      <c r="O17" s="782"/>
      <c r="P17" s="776"/>
    </row>
    <row r="18" spans="1:16" ht="22.5" customHeight="1" x14ac:dyDescent="0.25">
      <c r="A18" s="779" t="s">
        <v>832</v>
      </c>
      <c r="B18" s="38">
        <v>2001</v>
      </c>
      <c r="C18" s="781" t="s">
        <v>847</v>
      </c>
      <c r="D18" s="781" t="s">
        <v>849</v>
      </c>
      <c r="E18" s="782">
        <v>2000000</v>
      </c>
      <c r="F18" s="782"/>
      <c r="G18" s="782">
        <v>2000000</v>
      </c>
      <c r="H18" s="782"/>
      <c r="I18" s="776">
        <f t="shared" si="0"/>
        <v>10719000</v>
      </c>
      <c r="J18" s="777"/>
      <c r="K18" s="778"/>
      <c r="L18" s="776" t="e">
        <f t="shared" si="1"/>
        <v>#REF!</v>
      </c>
      <c r="M18" s="783"/>
      <c r="N18" s="777"/>
      <c r="O18" s="782"/>
      <c r="P18" s="776"/>
    </row>
    <row r="19" spans="1:16" ht="22.5" customHeight="1" x14ac:dyDescent="0.25">
      <c r="A19" s="779" t="s">
        <v>833</v>
      </c>
      <c r="B19" s="38">
        <v>2001</v>
      </c>
      <c r="C19" s="781" t="s">
        <v>851</v>
      </c>
      <c r="D19" s="781" t="s">
        <v>850</v>
      </c>
      <c r="E19" s="782">
        <v>1000000</v>
      </c>
      <c r="F19" s="782"/>
      <c r="G19" s="782">
        <v>1000000</v>
      </c>
      <c r="H19" s="782"/>
      <c r="I19" s="776">
        <f t="shared" si="0"/>
        <v>11719000</v>
      </c>
      <c r="J19" s="777"/>
      <c r="K19" s="778"/>
      <c r="L19" s="776" t="e">
        <f t="shared" si="1"/>
        <v>#REF!</v>
      </c>
      <c r="M19" s="783"/>
      <c r="N19" s="777"/>
      <c r="O19" s="782"/>
      <c r="P19" s="776"/>
    </row>
    <row r="20" spans="1:16" ht="22.5" customHeight="1" x14ac:dyDescent="0.25">
      <c r="A20" s="779" t="s">
        <v>834</v>
      </c>
      <c r="B20" s="38">
        <v>2001</v>
      </c>
      <c r="C20" s="781" t="s">
        <v>853</v>
      </c>
      <c r="D20" s="781" t="s">
        <v>852</v>
      </c>
      <c r="E20" s="782">
        <v>3000000</v>
      </c>
      <c r="F20" s="782"/>
      <c r="G20" s="782">
        <v>3000000</v>
      </c>
      <c r="H20" s="782"/>
      <c r="I20" s="776">
        <f t="shared" si="0"/>
        <v>14719000</v>
      </c>
      <c r="J20" s="777"/>
      <c r="K20" s="778"/>
      <c r="L20" s="776" t="e">
        <f t="shared" si="1"/>
        <v>#REF!</v>
      </c>
      <c r="M20" s="783"/>
      <c r="N20" s="777"/>
      <c r="O20" s="782"/>
      <c r="P20" s="776"/>
    </row>
    <row r="21" spans="1:16" ht="22.5" customHeight="1" x14ac:dyDescent="0.25">
      <c r="A21" s="779"/>
      <c r="B21" s="38">
        <v>2001</v>
      </c>
      <c r="C21" s="781" t="s">
        <v>857</v>
      </c>
      <c r="D21" s="781" t="s">
        <v>856</v>
      </c>
      <c r="E21" s="782">
        <v>2000000</v>
      </c>
      <c r="F21" s="782"/>
      <c r="G21" s="782">
        <v>2000000</v>
      </c>
      <c r="H21" s="782"/>
      <c r="I21" s="776">
        <f t="shared" si="0"/>
        <v>16719000</v>
      </c>
      <c r="J21" s="777"/>
      <c r="K21" s="778"/>
      <c r="L21" s="776"/>
      <c r="M21" s="783"/>
      <c r="N21" s="777"/>
      <c r="O21" s="782"/>
      <c r="P21" s="776"/>
    </row>
    <row r="22" spans="1:16" ht="22.5" customHeight="1" x14ac:dyDescent="0.25">
      <c r="A22" s="779"/>
      <c r="B22" s="38">
        <v>2001</v>
      </c>
      <c r="C22" s="781" t="s">
        <v>859</v>
      </c>
      <c r="D22" s="781" t="s">
        <v>858</v>
      </c>
      <c r="E22" s="782">
        <v>2000000</v>
      </c>
      <c r="F22" s="782"/>
      <c r="G22" s="782">
        <v>2000000</v>
      </c>
      <c r="H22" s="782"/>
      <c r="I22" s="776">
        <f t="shared" si="0"/>
        <v>18719000</v>
      </c>
      <c r="J22" s="777"/>
      <c r="K22" s="778"/>
      <c r="L22" s="776"/>
      <c r="M22" s="783"/>
      <c r="N22" s="777"/>
      <c r="O22" s="782"/>
      <c r="P22" s="776"/>
    </row>
    <row r="23" spans="1:16" ht="22.5" customHeight="1" x14ac:dyDescent="0.25">
      <c r="A23" s="779"/>
      <c r="B23" s="38">
        <v>2001</v>
      </c>
      <c r="C23" s="781" t="s">
        <v>860</v>
      </c>
      <c r="D23" s="781" t="s">
        <v>861</v>
      </c>
      <c r="E23" s="782">
        <v>3000000</v>
      </c>
      <c r="F23" s="782"/>
      <c r="G23" s="782">
        <v>3000000</v>
      </c>
      <c r="H23" s="782"/>
      <c r="I23" s="776">
        <f t="shared" si="0"/>
        <v>21719000</v>
      </c>
      <c r="J23" s="777"/>
      <c r="K23" s="778"/>
      <c r="L23" s="776" t="e">
        <f>L20+J23-K23</f>
        <v>#REF!</v>
      </c>
      <c r="M23" s="783"/>
      <c r="N23" s="777"/>
      <c r="O23" s="782"/>
      <c r="P23" s="776"/>
    </row>
    <row r="24" spans="1:16" ht="22.5" customHeight="1" x14ac:dyDescent="0.25">
      <c r="A24" s="779"/>
      <c r="B24" s="98">
        <v>5101</v>
      </c>
      <c r="C24" s="781" t="s">
        <v>855</v>
      </c>
      <c r="D24" s="775" t="s">
        <v>862</v>
      </c>
      <c r="E24" s="782"/>
      <c r="F24" s="782">
        <v>6515700</v>
      </c>
      <c r="G24" s="782"/>
      <c r="H24" s="782">
        <v>6515700</v>
      </c>
      <c r="I24" s="776">
        <f t="shared" si="0"/>
        <v>15203300</v>
      </c>
      <c r="J24" s="777"/>
      <c r="K24" s="778"/>
      <c r="L24" s="776"/>
      <c r="M24" s="783"/>
      <c r="N24" s="777"/>
      <c r="O24" s="782"/>
      <c r="P24" s="776"/>
    </row>
    <row r="25" spans="1:16" ht="22.5" customHeight="1" x14ac:dyDescent="0.25">
      <c r="A25" s="784"/>
      <c r="B25" s="785" t="s">
        <v>460</v>
      </c>
      <c r="C25" s="774" t="s">
        <v>854</v>
      </c>
      <c r="D25" s="786" t="s">
        <v>702</v>
      </c>
      <c r="E25" s="786"/>
      <c r="F25" s="782">
        <v>15203300</v>
      </c>
      <c r="G25" s="787"/>
      <c r="H25" s="782">
        <v>15203300</v>
      </c>
      <c r="I25" s="776">
        <f>I24+G25-H25</f>
        <v>0</v>
      </c>
      <c r="J25" s="778"/>
      <c r="K25" s="778"/>
      <c r="L25" s="776" t="e">
        <f>L23+J25-K25</f>
        <v>#REF!</v>
      </c>
      <c r="M25" s="776"/>
      <c r="N25" s="778"/>
      <c r="O25" s="778"/>
      <c r="P25" s="776"/>
    </row>
    <row r="26" spans="1:16" ht="22.5" customHeight="1" x14ac:dyDescent="0.25">
      <c r="A26" s="788"/>
      <c r="B26" s="789"/>
      <c r="C26" s="789"/>
      <c r="D26" s="790" t="s">
        <v>63</v>
      </c>
      <c r="E26" s="791">
        <f>SUM(E9:E25)</f>
        <v>23500000</v>
      </c>
      <c r="F26" s="791">
        <f>SUM(F9:F25)</f>
        <v>26653850</v>
      </c>
      <c r="G26" s="791">
        <f>SUM(G9:G25)</f>
        <v>23500000</v>
      </c>
      <c r="H26" s="791">
        <f>SUM(H9:H25)</f>
        <v>26653850</v>
      </c>
      <c r="I26" s="792"/>
      <c r="J26" s="791">
        <f>SUM(J9:J25)</f>
        <v>0</v>
      </c>
      <c r="K26" s="791">
        <f>SUM(K9:K25)</f>
        <v>0</v>
      </c>
      <c r="L26" s="792"/>
      <c r="M26" s="792"/>
      <c r="N26" s="791">
        <f>SUM(N9:N25)</f>
        <v>0</v>
      </c>
      <c r="O26" s="791">
        <f>SUM(O9:O25)</f>
        <v>0</v>
      </c>
      <c r="P26" s="792"/>
    </row>
    <row r="27" spans="1:16" ht="22.5" customHeight="1" x14ac:dyDescent="0.25">
      <c r="A27" s="788"/>
      <c r="B27" s="789"/>
      <c r="C27" s="789"/>
      <c r="D27" s="790" t="s">
        <v>64</v>
      </c>
      <c r="E27" s="791">
        <f>E8+E26</f>
        <v>26753850</v>
      </c>
      <c r="F27" s="793">
        <f>F8+F26</f>
        <v>26653850</v>
      </c>
      <c r="G27" s="791">
        <f>G8+G26</f>
        <v>26653850</v>
      </c>
      <c r="H27" s="793">
        <f>H8+H26</f>
        <v>26653850</v>
      </c>
      <c r="I27" s="792"/>
      <c r="J27" s="792">
        <f>J8+J26</f>
        <v>100000</v>
      </c>
      <c r="K27" s="792">
        <f>K8+K26</f>
        <v>0</v>
      </c>
      <c r="L27" s="792"/>
      <c r="M27" s="792"/>
      <c r="N27" s="792">
        <f>N8+N26</f>
        <v>0</v>
      </c>
      <c r="O27" s="792">
        <f>O8+O26</f>
        <v>0</v>
      </c>
      <c r="P27" s="792"/>
    </row>
    <row r="28" spans="1:16" ht="22.5" customHeight="1" x14ac:dyDescent="0.25">
      <c r="A28" s="788"/>
      <c r="B28" s="789"/>
      <c r="C28" s="789"/>
      <c r="D28" s="790" t="s">
        <v>65</v>
      </c>
      <c r="E28" s="791">
        <f>E27-F27</f>
        <v>100000</v>
      </c>
      <c r="F28" s="788"/>
      <c r="G28" s="791">
        <f>G27-H27</f>
        <v>0</v>
      </c>
      <c r="H28" s="788"/>
      <c r="I28" s="788"/>
      <c r="J28" s="792">
        <f>J27-K27</f>
        <v>100000</v>
      </c>
      <c r="K28" s="788"/>
      <c r="L28" s="788"/>
      <c r="M28" s="788"/>
      <c r="N28" s="792">
        <f>N27-O27</f>
        <v>0</v>
      </c>
      <c r="O28" s="788"/>
      <c r="P28" s="788"/>
    </row>
  </sheetData>
  <mergeCells count="7">
    <mergeCell ref="J6:L6"/>
    <mergeCell ref="M6:P6"/>
    <mergeCell ref="A6:A7"/>
    <mergeCell ref="B6:B7"/>
    <mergeCell ref="D6:D7"/>
    <mergeCell ref="E6:F6"/>
    <mergeCell ref="G6:I6"/>
  </mergeCells>
  <pageMargins left="0.7" right="0.7" top="0.75" bottom="0.75" header="0.3" footer="0.3"/>
  <pageSetup paperSize="5" scale="61" orientation="landscape" r:id="rId1"/>
  <colBreaks count="1" manualBreakCount="1">
    <brk id="12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0"/>
  <sheetViews>
    <sheetView view="pageBreakPreview" topLeftCell="A43" zoomScale="130" zoomScaleNormal="100" zoomScaleSheetLayoutView="130" workbookViewId="0">
      <selection activeCell="C53" sqref="C53"/>
    </sheetView>
  </sheetViews>
  <sheetFormatPr defaultColWidth="9" defaultRowHeight="15" x14ac:dyDescent="0.25"/>
  <cols>
    <col min="1" max="1" width="7.85546875" customWidth="1"/>
    <col min="2" max="2" width="45.140625" customWidth="1"/>
    <col min="3" max="3" width="22.28515625" style="251" customWidth="1"/>
    <col min="4" max="4" width="20.140625" style="28" customWidth="1"/>
    <col min="5" max="5" width="15.28515625" customWidth="1"/>
    <col min="6" max="6" width="20" customWidth="1"/>
    <col min="7" max="11" width="10" customWidth="1"/>
    <col min="12" max="12" width="15" style="251" bestFit="1" customWidth="1"/>
    <col min="13" max="13" width="12.28515625" bestFit="1" customWidth="1"/>
    <col min="14" max="248" width="10" customWidth="1"/>
    <col min="249" max="249" width="9" customWidth="1"/>
  </cols>
  <sheetData>
    <row r="1" spans="1:12" ht="19.5" x14ac:dyDescent="0.3">
      <c r="A1" s="29" t="s">
        <v>355</v>
      </c>
    </row>
    <row r="2" spans="1:12" ht="18.75" x14ac:dyDescent="0.3">
      <c r="A2" s="26" t="s">
        <v>356</v>
      </c>
    </row>
    <row r="3" spans="1:12" x14ac:dyDescent="0.25">
      <c r="A3" s="30" t="s">
        <v>718</v>
      </c>
    </row>
    <row r="4" spans="1:12" ht="12.75" customHeight="1" x14ac:dyDescent="0.25">
      <c r="A4" s="520"/>
    </row>
    <row r="5" spans="1:12" ht="21" x14ac:dyDescent="0.25">
      <c r="A5" s="520" t="s">
        <v>652</v>
      </c>
    </row>
    <row r="6" spans="1:12" x14ac:dyDescent="0.25">
      <c r="A6" s="267"/>
    </row>
    <row r="7" spans="1:12" s="31" customFormat="1" x14ac:dyDescent="0.25">
      <c r="A7" s="873" t="s">
        <v>9</v>
      </c>
      <c r="B7" s="873" t="s">
        <v>20</v>
      </c>
      <c r="C7" s="875" t="s">
        <v>658</v>
      </c>
      <c r="D7" s="874" t="s">
        <v>93</v>
      </c>
      <c r="L7" s="251"/>
    </row>
    <row r="8" spans="1:12" s="31" customFormat="1" x14ac:dyDescent="0.25">
      <c r="A8" s="873"/>
      <c r="B8" s="873"/>
      <c r="C8" s="875"/>
      <c r="D8" s="874"/>
      <c r="L8" s="251"/>
    </row>
    <row r="9" spans="1:12" x14ac:dyDescent="0.25">
      <c r="A9" s="495"/>
      <c r="B9" s="495"/>
      <c r="C9" s="497"/>
      <c r="D9" s="33"/>
    </row>
    <row r="10" spans="1:12" s="30" customFormat="1" x14ac:dyDescent="0.25">
      <c r="A10" s="34">
        <v>1000</v>
      </c>
      <c r="B10" s="34" t="s">
        <v>82</v>
      </c>
      <c r="C10" s="497"/>
      <c r="D10" s="41">
        <f>SUM(C10:C10)</f>
        <v>0</v>
      </c>
      <c r="L10" s="251"/>
    </row>
    <row r="11" spans="1:12" s="30" customFormat="1" x14ac:dyDescent="0.25">
      <c r="A11" s="34"/>
      <c r="B11" s="34"/>
      <c r="C11" s="497"/>
      <c r="D11" s="36"/>
      <c r="L11" s="251"/>
    </row>
    <row r="12" spans="1:12" s="30" customFormat="1" x14ac:dyDescent="0.25">
      <c r="A12" s="34">
        <v>2000</v>
      </c>
      <c r="B12" s="34" t="s">
        <v>90</v>
      </c>
      <c r="C12" s="497">
        <f>SUM(C13:C13)</f>
        <v>23500000</v>
      </c>
      <c r="D12" s="35">
        <f>SUM(D13:D14)</f>
        <v>23500000</v>
      </c>
      <c r="L12" s="251"/>
    </row>
    <row r="13" spans="1:12" s="37" customFormat="1" x14ac:dyDescent="0.25">
      <c r="A13" s="38">
        <v>2001</v>
      </c>
      <c r="B13" s="39" t="s">
        <v>674</v>
      </c>
      <c r="C13" s="497">
        <f>SUMIF('CTH lapak'!$B$8:$B$25,A13,'CTH lapak'!$E$8:$E$25)</f>
        <v>23500000</v>
      </c>
      <c r="D13" s="41">
        <f>SUM(C13:C13)</f>
        <v>23500000</v>
      </c>
      <c r="L13" s="251"/>
    </row>
    <row r="14" spans="1:12" x14ac:dyDescent="0.25">
      <c r="A14" s="98">
        <v>2009</v>
      </c>
      <c r="B14" s="42" t="s">
        <v>675</v>
      </c>
      <c r="C14" s="497">
        <f>SUMIF('CTH lapak'!$B$8:$B$25,A14,'CTH lapak'!$E$8:$E$25)</f>
        <v>0</v>
      </c>
      <c r="D14" s="41">
        <f>SUM(C14:C14)</f>
        <v>0</v>
      </c>
    </row>
    <row r="15" spans="1:12" s="30" customFormat="1" x14ac:dyDescent="0.25">
      <c r="A15" s="804">
        <v>3000</v>
      </c>
      <c r="B15" s="804" t="s">
        <v>653</v>
      </c>
      <c r="C15" s="805">
        <f t="shared" ref="C15:D15" si="0">SUM(C16:C16)</f>
        <v>0</v>
      </c>
      <c r="D15" s="806">
        <f t="shared" si="0"/>
        <v>0</v>
      </c>
      <c r="L15" s="251"/>
    </row>
    <row r="16" spans="1:12" x14ac:dyDescent="0.25">
      <c r="A16" s="98">
        <v>3001</v>
      </c>
      <c r="B16" s="42" t="s">
        <v>654</v>
      </c>
      <c r="C16" s="497">
        <f>SUMIF('CTH lapak'!$B$8:$B$25,A16,'CTH lapak'!$E$8:$E$25)</f>
        <v>0</v>
      </c>
      <c r="D16" s="41">
        <f>SUM(C16:C16)</f>
        <v>0</v>
      </c>
      <c r="E16" s="45"/>
    </row>
    <row r="17" spans="1:12" x14ac:dyDescent="0.25">
      <c r="A17" s="98"/>
      <c r="B17" s="57"/>
      <c r="C17" s="497"/>
      <c r="D17" s="36"/>
    </row>
    <row r="18" spans="1:12" s="30" customFormat="1" x14ac:dyDescent="0.25">
      <c r="A18" s="804"/>
      <c r="B18" s="807" t="s">
        <v>102</v>
      </c>
      <c r="C18" s="805">
        <f>C10+C12+C15</f>
        <v>23500000</v>
      </c>
      <c r="D18" s="806">
        <f>D10+D12+D15</f>
        <v>23500000</v>
      </c>
      <c r="L18" s="251"/>
    </row>
    <row r="19" spans="1:12" x14ac:dyDescent="0.25">
      <c r="A19" s="98"/>
      <c r="B19" s="98"/>
      <c r="C19" s="497"/>
      <c r="D19" s="56"/>
    </row>
    <row r="20" spans="1:12" x14ac:dyDescent="0.25">
      <c r="A20" s="804">
        <v>5000</v>
      </c>
      <c r="B20" s="804" t="s">
        <v>85</v>
      </c>
      <c r="C20" s="808">
        <f>C21</f>
        <v>10250550</v>
      </c>
      <c r="D20" s="808">
        <f>D21</f>
        <v>10250550</v>
      </c>
    </row>
    <row r="21" spans="1:12" x14ac:dyDescent="0.25">
      <c r="A21" s="98">
        <v>5100</v>
      </c>
      <c r="B21" s="34" t="s">
        <v>94</v>
      </c>
      <c r="C21" s="62">
        <f>SUM(C22:C29)</f>
        <v>10250550</v>
      </c>
      <c r="D21" s="36">
        <f>SUM(D22:D29)</f>
        <v>10250550</v>
      </c>
    </row>
    <row r="22" spans="1:12" x14ac:dyDescent="0.25">
      <c r="A22" s="98">
        <v>5101</v>
      </c>
      <c r="B22" s="42" t="s">
        <v>660</v>
      </c>
      <c r="C22" s="497">
        <f>SUMIF('CTH lapak'!$B$8:$B$25,A22,'CTH lapak'!$F$8:$F$25)</f>
        <v>6515700</v>
      </c>
      <c r="D22" s="313">
        <f>SUM(C22)</f>
        <v>6515700</v>
      </c>
    </row>
    <row r="23" spans="1:12" x14ac:dyDescent="0.25">
      <c r="A23" s="98">
        <v>5102</v>
      </c>
      <c r="B23" s="42" t="s">
        <v>96</v>
      </c>
      <c r="C23" s="497">
        <f>SUMIF('CTH lapak'!$B$8:$B$25,A23,'CTH lapak'!$F$8:$F$25)</f>
        <v>1300000</v>
      </c>
      <c r="D23" s="313">
        <f t="shared" ref="D23:D29" si="1">SUM(C23)</f>
        <v>1300000</v>
      </c>
    </row>
    <row r="24" spans="1:12" x14ac:dyDescent="0.25">
      <c r="A24" s="98">
        <v>5103</v>
      </c>
      <c r="B24" s="279" t="s">
        <v>431</v>
      </c>
      <c r="C24" s="497">
        <f>SUMIF('CTH lapak'!$B$8:$B$25,A24,'CTH lapak'!$F$8:$F$25)</f>
        <v>0</v>
      </c>
      <c r="D24" s="313">
        <f t="shared" si="1"/>
        <v>0</v>
      </c>
    </row>
    <row r="25" spans="1:12" x14ac:dyDescent="0.25">
      <c r="A25" s="98">
        <v>5104</v>
      </c>
      <c r="B25" s="279" t="s">
        <v>432</v>
      </c>
      <c r="C25" s="497">
        <f>SUMIF('CTH lapak'!$B$8:$B$25,A25,'CTH lapak'!$F$8:$F$25)</f>
        <v>0</v>
      </c>
      <c r="D25" s="313">
        <f t="shared" si="1"/>
        <v>0</v>
      </c>
    </row>
    <row r="26" spans="1:12" x14ac:dyDescent="0.25">
      <c r="A26" s="98">
        <v>5105</v>
      </c>
      <c r="B26" s="42" t="s">
        <v>657</v>
      </c>
      <c r="C26" s="497">
        <f>SUMIF('CTH lapak'!$B$8:$B$25,A26,'CTH lapak'!$F$8:$F$25)</f>
        <v>0</v>
      </c>
      <c r="D26" s="313">
        <f t="shared" si="1"/>
        <v>0</v>
      </c>
    </row>
    <row r="27" spans="1:12" x14ac:dyDescent="0.25">
      <c r="A27" s="98">
        <v>5106</v>
      </c>
      <c r="B27" s="42" t="s">
        <v>655</v>
      </c>
      <c r="C27" s="497">
        <f>SUMIF('CTH lapak'!$B$8:$B$25,A27,'CTH lapak'!$F$8:$F$25)</f>
        <v>0</v>
      </c>
      <c r="D27" s="313">
        <f t="shared" si="1"/>
        <v>0</v>
      </c>
    </row>
    <row r="28" spans="1:12" x14ac:dyDescent="0.25">
      <c r="A28" s="98">
        <v>5107</v>
      </c>
      <c r="B28" s="42" t="s">
        <v>607</v>
      </c>
      <c r="C28" s="497">
        <f>SUMIF('CTH lapak'!$B$8:$B$25,A28,'CTH lapak'!$F$8:$F$25)</f>
        <v>0</v>
      </c>
      <c r="D28" s="313">
        <f t="shared" si="1"/>
        <v>0</v>
      </c>
    </row>
    <row r="29" spans="1:12" x14ac:dyDescent="0.25">
      <c r="A29" s="98">
        <v>5109</v>
      </c>
      <c r="B29" s="42" t="s">
        <v>656</v>
      </c>
      <c r="C29" s="497">
        <f>SUMIF('CTH lapak'!$B$8:$B$25,A29,'CTH lapak'!$F$8:$F$25)</f>
        <v>2434850</v>
      </c>
      <c r="D29" s="313">
        <f t="shared" si="1"/>
        <v>2434850</v>
      </c>
    </row>
    <row r="30" spans="1:12" x14ac:dyDescent="0.25">
      <c r="A30" s="98"/>
      <c r="B30" s="98"/>
      <c r="C30" s="497"/>
      <c r="D30" s="56"/>
    </row>
    <row r="31" spans="1:12" s="367" customFormat="1" x14ac:dyDescent="0.25">
      <c r="A31" s="34">
        <v>5200</v>
      </c>
      <c r="B31" s="34" t="s">
        <v>438</v>
      </c>
      <c r="C31" s="389">
        <f>C32</f>
        <v>1200000</v>
      </c>
      <c r="D31" s="389">
        <f>D32</f>
        <v>1200000</v>
      </c>
      <c r="L31" s="251"/>
    </row>
    <row r="32" spans="1:12" x14ac:dyDescent="0.25">
      <c r="A32" s="98">
        <v>5201</v>
      </c>
      <c r="B32" s="330" t="s">
        <v>439</v>
      </c>
      <c r="C32" s="497">
        <f>SUMIF('CTH lapak'!$B$8:$B$25,A32,'CTH lapak'!$F$8:$F$25)</f>
        <v>1200000</v>
      </c>
      <c r="D32" s="313">
        <f t="shared" ref="D32" si="2">SUM(C32)</f>
        <v>1200000</v>
      </c>
    </row>
    <row r="33" spans="1:13" x14ac:dyDescent="0.25">
      <c r="A33" s="98"/>
      <c r="B33" s="379"/>
      <c r="C33" s="497">
        <f>SUMIF('CTH lapak'!$B$8:$B$25,A33,'CTH lapak'!$F$8:$F$25)</f>
        <v>0</v>
      </c>
      <c r="D33" s="56"/>
    </row>
    <row r="34" spans="1:13" s="30" customFormat="1" x14ac:dyDescent="0.25">
      <c r="A34" s="34">
        <v>3000</v>
      </c>
      <c r="B34" s="253" t="s">
        <v>6</v>
      </c>
      <c r="C34" s="63">
        <f>SUM(C35:C36)</f>
        <v>0</v>
      </c>
      <c r="D34" s="63">
        <f>SUM(D35:D36)</f>
        <v>0</v>
      </c>
      <c r="E34" s="64"/>
      <c r="L34" s="251"/>
    </row>
    <row r="35" spans="1:13" x14ac:dyDescent="0.25">
      <c r="A35" s="98">
        <v>3001</v>
      </c>
      <c r="B35" s="42" t="s">
        <v>654</v>
      </c>
      <c r="C35" s="497"/>
      <c r="D35" s="313">
        <f t="shared" ref="D35:D38" si="3">SUM(C35)</f>
        <v>0</v>
      </c>
      <c r="E35" s="43"/>
      <c r="F35" s="43"/>
      <c r="M35" s="342"/>
    </row>
    <row r="36" spans="1:13" x14ac:dyDescent="0.25">
      <c r="A36" s="98">
        <v>3002</v>
      </c>
      <c r="B36" s="42" t="s">
        <v>659</v>
      </c>
      <c r="C36" s="497">
        <f>SUMIF('CTH lapak'!$B$8:$B$25,A36,'CTH lapak'!$F$8:$F$25)</f>
        <v>0</v>
      </c>
      <c r="D36" s="313">
        <f t="shared" si="3"/>
        <v>0</v>
      </c>
      <c r="E36" s="43"/>
    </row>
    <row r="37" spans="1:13" x14ac:dyDescent="0.25">
      <c r="A37" s="98"/>
      <c r="B37" s="42"/>
      <c r="C37" s="497"/>
      <c r="D37" s="313"/>
      <c r="E37" s="43"/>
    </row>
    <row r="38" spans="1:13" s="367" customFormat="1" x14ac:dyDescent="0.25">
      <c r="A38" s="34" t="s">
        <v>460</v>
      </c>
      <c r="B38" s="370" t="s">
        <v>462</v>
      </c>
      <c r="C38" s="497">
        <f>SUMIF('CTH lapak'!$B$8:$B$25,A38,'CTH lapak'!$F$8:$F$25)</f>
        <v>15203300</v>
      </c>
      <c r="D38" s="313">
        <f t="shared" si="3"/>
        <v>15203300</v>
      </c>
      <c r="E38" s="64"/>
      <c r="L38" s="251"/>
    </row>
    <row r="39" spans="1:13" s="65" customFormat="1" ht="19.5" customHeight="1" x14ac:dyDescent="0.25">
      <c r="A39" s="521"/>
      <c r="B39" s="521" t="s">
        <v>5</v>
      </c>
      <c r="C39" s="522">
        <f>C34+C20+C31+C38</f>
        <v>26653850</v>
      </c>
      <c r="D39" s="522">
        <f t="shared" ref="D39" si="4">D34+D20+D31+D38</f>
        <v>26653850</v>
      </c>
      <c r="E39" s="66"/>
      <c r="L39" s="251"/>
    </row>
    <row r="40" spans="1:13" s="65" customFormat="1" ht="19.5" customHeight="1" thickBot="1" x14ac:dyDescent="0.3">
      <c r="A40" s="298"/>
      <c r="B40" s="298" t="s">
        <v>100</v>
      </c>
      <c r="C40" s="299">
        <f>C18-C39</f>
        <v>-3153850</v>
      </c>
      <c r="D40" s="299">
        <f>D18-D39</f>
        <v>-3153850</v>
      </c>
      <c r="L40" s="251"/>
    </row>
    <row r="42" spans="1:13" s="333" customFormat="1" x14ac:dyDescent="0.25">
      <c r="A42" s="356"/>
      <c r="B42" s="357"/>
      <c r="C42" s="536"/>
      <c r="D42" s="359"/>
      <c r="L42" s="251"/>
    </row>
    <row r="43" spans="1:13" x14ac:dyDescent="0.25">
      <c r="A43" s="285"/>
      <c r="B43" s="344" t="s">
        <v>446</v>
      </c>
      <c r="C43" s="209">
        <v>3253850</v>
      </c>
      <c r="D43" s="287"/>
      <c r="E43" s="286"/>
    </row>
    <row r="44" spans="1:13" x14ac:dyDescent="0.25">
      <c r="A44" s="285"/>
      <c r="B44" s="344" t="s">
        <v>90</v>
      </c>
      <c r="C44" s="537">
        <f>D12</f>
        <v>23500000</v>
      </c>
      <c r="D44" s="287"/>
      <c r="E44" s="286"/>
    </row>
    <row r="45" spans="1:13" x14ac:dyDescent="0.25">
      <c r="A45" s="285"/>
      <c r="B45" s="344" t="s">
        <v>447</v>
      </c>
      <c r="C45" s="537">
        <f>D16</f>
        <v>0</v>
      </c>
      <c r="D45" s="287"/>
      <c r="E45" s="286"/>
    </row>
    <row r="46" spans="1:13" x14ac:dyDescent="0.25">
      <c r="A46" s="285"/>
      <c r="B46" s="347" t="s">
        <v>93</v>
      </c>
      <c r="C46" s="537">
        <f>C44+C45</f>
        <v>23500000</v>
      </c>
      <c r="D46" s="287"/>
      <c r="E46" s="286"/>
    </row>
    <row r="47" spans="1:13" x14ac:dyDescent="0.25">
      <c r="A47" s="285"/>
      <c r="B47" s="286"/>
      <c r="C47" s="537"/>
      <c r="D47" s="287"/>
      <c r="E47" s="286"/>
    </row>
    <row r="48" spans="1:13" x14ac:dyDescent="0.25">
      <c r="A48" s="285"/>
      <c r="B48" s="363" t="s">
        <v>448</v>
      </c>
      <c r="C48" s="537"/>
      <c r="D48" s="287"/>
      <c r="E48" s="286"/>
    </row>
    <row r="49" spans="1:5" x14ac:dyDescent="0.25">
      <c r="A49" s="285"/>
      <c r="B49" s="286"/>
      <c r="C49" s="537"/>
      <c r="D49" s="287"/>
      <c r="E49" s="286"/>
    </row>
    <row r="50" spans="1:5" x14ac:dyDescent="0.25">
      <c r="A50" s="285"/>
      <c r="B50" s="373" t="s">
        <v>449</v>
      </c>
      <c r="C50" s="537">
        <f>D21</f>
        <v>10250550</v>
      </c>
      <c r="D50" s="287"/>
      <c r="E50" s="286"/>
    </row>
    <row r="51" spans="1:5" x14ac:dyDescent="0.25">
      <c r="A51" s="285"/>
      <c r="B51" s="374" t="s">
        <v>450</v>
      </c>
      <c r="C51" s="537">
        <f>D31</f>
        <v>1200000</v>
      </c>
      <c r="D51" s="287"/>
      <c r="E51" s="286"/>
    </row>
    <row r="52" spans="1:5" x14ac:dyDescent="0.25">
      <c r="A52" s="285"/>
      <c r="B52" s="375" t="s">
        <v>451</v>
      </c>
      <c r="C52" s="537">
        <f>D36</f>
        <v>0</v>
      </c>
      <c r="D52" s="287"/>
      <c r="E52" s="286"/>
    </row>
    <row r="53" spans="1:5" x14ac:dyDescent="0.25">
      <c r="A53" s="285"/>
      <c r="B53" s="376" t="s">
        <v>463</v>
      </c>
      <c r="C53" s="537">
        <f>D38</f>
        <v>15203300</v>
      </c>
      <c r="D53" s="287"/>
      <c r="E53" s="286"/>
    </row>
    <row r="54" spans="1:5" x14ac:dyDescent="0.25">
      <c r="A54" s="285"/>
      <c r="B54" s="347" t="s">
        <v>93</v>
      </c>
      <c r="C54" s="535">
        <f>SUM(C50:C53)</f>
        <v>26653850</v>
      </c>
      <c r="D54" s="287"/>
      <c r="E54" s="286"/>
    </row>
    <row r="55" spans="1:5" x14ac:dyDescent="0.25">
      <c r="A55" s="285"/>
      <c r="B55" s="347" t="s">
        <v>452</v>
      </c>
      <c r="C55" s="537">
        <f>(C46+C43)-C54</f>
        <v>100000</v>
      </c>
      <c r="D55" s="287"/>
      <c r="E55" s="286"/>
    </row>
    <row r="56" spans="1:5" x14ac:dyDescent="0.25">
      <c r="A56" s="285"/>
      <c r="B56" s="347"/>
      <c r="C56" s="537"/>
      <c r="D56" s="287"/>
      <c r="E56" s="286"/>
    </row>
    <row r="57" spans="1:5" x14ac:dyDescent="0.25">
      <c r="A57" s="285"/>
      <c r="B57" s="534" t="s">
        <v>677</v>
      </c>
      <c r="C57" s="537">
        <f>'CTH lapak'!G28</f>
        <v>0</v>
      </c>
      <c r="D57" s="287"/>
      <c r="E57" s="286"/>
    </row>
    <row r="58" spans="1:5" x14ac:dyDescent="0.25">
      <c r="A58" s="285"/>
      <c r="B58" s="534" t="s">
        <v>678</v>
      </c>
      <c r="C58" s="535">
        <v>100000</v>
      </c>
      <c r="D58" s="287"/>
      <c r="E58" s="286"/>
    </row>
    <row r="59" spans="1:5" x14ac:dyDescent="0.25">
      <c r="A59" s="285"/>
      <c r="B59" s="534"/>
      <c r="C59" s="538">
        <f>SUM(C57:C58)</f>
        <v>100000</v>
      </c>
      <c r="D59" s="287">
        <f>C55-C59</f>
        <v>0</v>
      </c>
      <c r="E59" s="286"/>
    </row>
    <row r="60" spans="1:5" x14ac:dyDescent="0.25">
      <c r="A60" s="285"/>
      <c r="B60" s="534"/>
      <c r="C60" s="537"/>
      <c r="D60" s="287"/>
      <c r="E60" s="286"/>
    </row>
    <row r="61" spans="1:5" x14ac:dyDescent="0.25">
      <c r="A61" s="285"/>
      <c r="B61" s="286"/>
      <c r="C61" s="537" t="str">
        <f>tabungan!I76</f>
        <v>Balongbesuk, 15 Januari 2025</v>
      </c>
      <c r="D61" s="287"/>
      <c r="E61" s="286"/>
    </row>
    <row r="62" spans="1:5" x14ac:dyDescent="0.25">
      <c r="A62" s="285"/>
      <c r="B62" s="347" t="s">
        <v>127</v>
      </c>
      <c r="C62" s="537" t="s">
        <v>453</v>
      </c>
      <c r="D62" s="287"/>
      <c r="E62" s="286"/>
    </row>
    <row r="63" spans="1:5" x14ac:dyDescent="0.25">
      <c r="A63" s="285"/>
      <c r="B63" s="350"/>
      <c r="C63" s="594" t="s">
        <v>717</v>
      </c>
      <c r="D63" s="287"/>
      <c r="E63" s="286"/>
    </row>
    <row r="64" spans="1:5" x14ac:dyDescent="0.25">
      <c r="A64" s="285"/>
      <c r="B64" s="286"/>
      <c r="C64" s="537"/>
      <c r="D64" s="287"/>
      <c r="E64" s="286"/>
    </row>
    <row r="65" spans="1:12" x14ac:dyDescent="0.25">
      <c r="A65" s="285"/>
      <c r="B65" s="290"/>
      <c r="C65" s="537"/>
      <c r="D65" s="287"/>
      <c r="E65" s="286"/>
    </row>
    <row r="66" spans="1:12" s="286" customFormat="1" x14ac:dyDescent="0.25">
      <c r="A66" s="285"/>
      <c r="C66" s="537"/>
      <c r="D66" s="287"/>
      <c r="L66" s="251"/>
    </row>
    <row r="67" spans="1:12" s="286" customFormat="1" ht="17.25" x14ac:dyDescent="0.4">
      <c r="A67" s="285"/>
      <c r="B67" s="561" t="str">
        <f>tabungan!C178</f>
        <v>DODIK SUSANTO, S.Fil.I</v>
      </c>
      <c r="C67" s="595" t="s">
        <v>182</v>
      </c>
      <c r="D67" s="287"/>
      <c r="L67" s="251"/>
    </row>
    <row r="68" spans="1:12" x14ac:dyDescent="0.25">
      <c r="A68" s="285"/>
      <c r="B68" s="418" t="str">
        <f>tabungan!C179</f>
        <v>Direktur BUMDES</v>
      </c>
      <c r="C68" s="537"/>
      <c r="D68" s="287"/>
    </row>
    <row r="69" spans="1:12" x14ac:dyDescent="0.25">
      <c r="A69" s="285"/>
      <c r="B69" s="286"/>
      <c r="C69" s="537"/>
      <c r="D69" s="287"/>
    </row>
    <row r="70" spans="1:12" x14ac:dyDescent="0.25">
      <c r="A70" s="291"/>
      <c r="B70" s="292"/>
      <c r="C70" s="535"/>
      <c r="D70" s="293"/>
    </row>
  </sheetData>
  <mergeCells count="4">
    <mergeCell ref="A7:A8"/>
    <mergeCell ref="B7:B8"/>
    <mergeCell ref="D7:D8"/>
    <mergeCell ref="C7:C8"/>
  </mergeCells>
  <pageMargins left="0.7" right="0.7" top="0.75" bottom="0.75" header="0.3" footer="0.3"/>
  <pageSetup scale="95" orientation="portrait" r:id="rId1"/>
  <rowBreaks count="1" manualBreakCount="1">
    <brk id="41" max="16383" man="1"/>
  </rowBreaks>
  <colBreaks count="1" manualBreakCount="1">
    <brk id="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W1257"/>
  <sheetViews>
    <sheetView view="pageBreakPreview" topLeftCell="A4" zoomScale="148" zoomScaleNormal="80" zoomScaleSheetLayoutView="148" workbookViewId="0">
      <pane xSplit="3" ySplit="5" topLeftCell="E156" activePane="bottomRight" state="frozen"/>
      <selection activeCell="A4" sqref="A4"/>
      <selection pane="topRight" activeCell="D4" sqref="D4"/>
      <selection pane="bottomLeft" activeCell="A9" sqref="A9"/>
      <selection pane="bottomRight" activeCell="F157" sqref="F157"/>
    </sheetView>
  </sheetViews>
  <sheetFormatPr defaultColWidth="9" defaultRowHeight="15" zeroHeight="1" x14ac:dyDescent="0.25"/>
  <cols>
    <col min="1" max="1" width="15.140625" customWidth="1"/>
    <col min="2" max="2" width="8.28515625" style="68" customWidth="1"/>
    <col min="3" max="3" width="21.140625" style="68" customWidth="1"/>
    <col min="4" max="4" width="35.5703125" style="69" customWidth="1"/>
    <col min="5" max="5" width="15.28515625" style="1" customWidth="1"/>
    <col min="6" max="9" width="14.7109375" customWidth="1"/>
    <col min="10" max="10" width="14.140625" hidden="1" customWidth="1"/>
    <col min="11" max="12" width="13.42578125" hidden="1" customWidth="1"/>
    <col min="13" max="13" width="7.42578125" customWidth="1"/>
    <col min="14" max="16" width="14.7109375" bestFit="1" customWidth="1"/>
    <col min="17" max="17" width="7.42578125" customWidth="1"/>
    <col min="18" max="18" width="13.42578125" bestFit="1" customWidth="1"/>
    <col min="19" max="19" width="14.5703125" bestFit="1" customWidth="1"/>
    <col min="20" max="20" width="13.42578125" customWidth="1"/>
    <col min="21" max="21" width="10" customWidth="1"/>
    <col min="22" max="22" width="11.5703125" bestFit="1" customWidth="1"/>
    <col min="23" max="23" width="13.28515625" style="251" bestFit="1" customWidth="1"/>
    <col min="24" max="255" width="10" customWidth="1"/>
    <col min="256" max="256" width="9" customWidth="1"/>
  </cols>
  <sheetData>
    <row r="1" spans="1:23" x14ac:dyDescent="0.25">
      <c r="A1" s="30" t="str">
        <f>Sheet1!C7</f>
        <v>" BAROKAH "</v>
      </c>
      <c r="J1" s="1"/>
    </row>
    <row r="2" spans="1:23" ht="19.5" x14ac:dyDescent="0.3">
      <c r="A2" s="2" t="str">
        <f>Sheet1!C8</f>
        <v>Desa Balongbesuk Kecamatan Diwek Kabupaten Jombang</v>
      </c>
      <c r="I2" s="15"/>
      <c r="J2" s="1"/>
      <c r="K2" s="15"/>
    </row>
    <row r="3" spans="1:23" ht="19.5" x14ac:dyDescent="0.3">
      <c r="A3" s="2" t="str">
        <f>Sheet1!C4</f>
        <v>TAHUN ANGGARAN 2025</v>
      </c>
      <c r="I3" s="15"/>
      <c r="J3" s="1"/>
      <c r="K3" s="15"/>
      <c r="N3">
        <v>57000000</v>
      </c>
    </row>
    <row r="4" spans="1:23" ht="19.5" x14ac:dyDescent="0.3">
      <c r="A4" s="2"/>
      <c r="I4" s="15"/>
      <c r="J4" s="1"/>
      <c r="K4" s="15"/>
      <c r="O4" s="209">
        <v>62000000</v>
      </c>
      <c r="S4" s="233">
        <v>2800000</v>
      </c>
    </row>
    <row r="5" spans="1:23" x14ac:dyDescent="0.25">
      <c r="A5" s="24" t="s">
        <v>18</v>
      </c>
      <c r="I5" s="15"/>
      <c r="J5" s="1"/>
      <c r="K5" s="15"/>
      <c r="O5" s="209">
        <v>33000000</v>
      </c>
      <c r="S5" s="233">
        <v>14520000</v>
      </c>
    </row>
    <row r="6" spans="1:23" x14ac:dyDescent="0.25">
      <c r="O6" s="342">
        <f>SUM(O4:O5)</f>
        <v>95000000</v>
      </c>
      <c r="S6" s="342">
        <f>SUM(S4:S5)</f>
        <v>17320000</v>
      </c>
    </row>
    <row r="7" spans="1:23" s="70" customFormat="1" x14ac:dyDescent="0.25">
      <c r="A7" s="886" t="s">
        <v>19</v>
      </c>
      <c r="B7" s="896" t="s">
        <v>9</v>
      </c>
      <c r="C7" s="71" t="s">
        <v>197</v>
      </c>
      <c r="D7" s="899" t="s">
        <v>20</v>
      </c>
      <c r="E7" s="903" t="s">
        <v>357</v>
      </c>
      <c r="F7" s="904"/>
      <c r="G7" s="886" t="s">
        <v>0</v>
      </c>
      <c r="H7" s="886"/>
      <c r="I7" s="886"/>
      <c r="J7" s="886" t="s">
        <v>1</v>
      </c>
      <c r="K7" s="886"/>
      <c r="L7" s="886"/>
      <c r="M7" s="72"/>
      <c r="N7" s="886" t="s">
        <v>6</v>
      </c>
      <c r="O7" s="886"/>
      <c r="P7" s="886"/>
      <c r="Q7" s="887" t="s">
        <v>9</v>
      </c>
      <c r="R7" s="886" t="s">
        <v>2</v>
      </c>
      <c r="S7" s="886"/>
      <c r="T7" s="886"/>
      <c r="W7" s="251"/>
    </row>
    <row r="8" spans="1:23" s="70" customFormat="1" x14ac:dyDescent="0.25">
      <c r="A8" s="887"/>
      <c r="B8" s="897"/>
      <c r="C8" s="73"/>
      <c r="D8" s="900"/>
      <c r="E8" s="75" t="s">
        <v>11</v>
      </c>
      <c r="F8" s="76" t="s">
        <v>12</v>
      </c>
      <c r="G8" s="74" t="s">
        <v>11</v>
      </c>
      <c r="H8" s="74" t="s">
        <v>12</v>
      </c>
      <c r="I8" s="74" t="s">
        <v>21</v>
      </c>
      <c r="J8" s="74" t="s">
        <v>11</v>
      </c>
      <c r="K8" s="74" t="s">
        <v>12</v>
      </c>
      <c r="L8" s="74" t="s">
        <v>21</v>
      </c>
      <c r="M8" s="74"/>
      <c r="N8" s="74" t="s">
        <v>11</v>
      </c>
      <c r="O8" s="74" t="s">
        <v>12</v>
      </c>
      <c r="P8" s="74" t="s">
        <v>21</v>
      </c>
      <c r="Q8" s="906"/>
      <c r="R8" s="74" t="s">
        <v>11</v>
      </c>
      <c r="S8" s="74" t="s">
        <v>12</v>
      </c>
      <c r="T8" s="74" t="s">
        <v>21</v>
      </c>
      <c r="W8" s="251"/>
    </row>
    <row r="9" spans="1:23" x14ac:dyDescent="0.25">
      <c r="A9" s="703">
        <v>45658</v>
      </c>
      <c r="B9" s="8"/>
      <c r="C9" s="8"/>
      <c r="D9" s="79" t="s">
        <v>749</v>
      </c>
      <c r="E9" s="707"/>
      <c r="F9" s="598"/>
      <c r="G9" s="707"/>
      <c r="H9" s="598"/>
      <c r="I9" s="598">
        <f>G9-H9</f>
        <v>0</v>
      </c>
      <c r="J9" s="708">
        <v>0</v>
      </c>
      <c r="K9" s="12"/>
      <c r="L9" s="598">
        <f>J9-K9</f>
        <v>0</v>
      </c>
      <c r="M9" s="598"/>
      <c r="N9" s="709">
        <v>95000000</v>
      </c>
      <c r="O9" s="12"/>
      <c r="P9" s="598">
        <f>N9-O9</f>
        <v>95000000</v>
      </c>
      <c r="Q9" s="598"/>
      <c r="R9" s="416">
        <v>17320000</v>
      </c>
      <c r="S9" s="12"/>
      <c r="T9" s="598">
        <f>R9-S9</f>
        <v>17320000</v>
      </c>
    </row>
    <row r="10" spans="1:23" x14ac:dyDescent="0.25">
      <c r="A10" s="704" t="s">
        <v>890</v>
      </c>
      <c r="B10" s="8">
        <v>2002</v>
      </c>
      <c r="C10" s="8"/>
      <c r="D10" s="79" t="s">
        <v>358</v>
      </c>
      <c r="E10" s="598"/>
      <c r="F10" s="598"/>
      <c r="G10" s="598"/>
      <c r="H10" s="598"/>
      <c r="I10" s="598">
        <f>I9+G10-H10</f>
        <v>0</v>
      </c>
      <c r="J10" s="12"/>
      <c r="K10" s="706"/>
      <c r="L10" s="598">
        <f>L9+J10-K10</f>
        <v>0</v>
      </c>
      <c r="M10" s="12" t="s">
        <v>199</v>
      </c>
      <c r="N10" s="707"/>
      <c r="O10" s="416"/>
      <c r="P10" s="598">
        <f>P9+N10-O10</f>
        <v>95000000</v>
      </c>
      <c r="Q10" s="598"/>
      <c r="R10" s="12"/>
      <c r="S10" s="12"/>
      <c r="T10" s="598">
        <f>T9+R10-S10</f>
        <v>17320000</v>
      </c>
    </row>
    <row r="11" spans="1:23" ht="17.25" customHeight="1" x14ac:dyDescent="0.25">
      <c r="A11" s="704" t="s">
        <v>892</v>
      </c>
      <c r="B11" s="8">
        <v>2001</v>
      </c>
      <c r="C11" s="8" t="s">
        <v>193</v>
      </c>
      <c r="D11" s="699" t="s">
        <v>359</v>
      </c>
      <c r="E11" s="598">
        <v>1000000</v>
      </c>
      <c r="F11" s="598"/>
      <c r="G11" s="598">
        <v>1000000</v>
      </c>
      <c r="H11" s="598"/>
      <c r="I11" s="598">
        <f>I10+G11-H11</f>
        <v>1000000</v>
      </c>
      <c r="J11" s="12"/>
      <c r="K11" s="12"/>
      <c r="L11" s="598" t="e">
        <f>#REF!+J11-K11</f>
        <v>#REF!</v>
      </c>
      <c r="M11" s="824" t="s">
        <v>53</v>
      </c>
      <c r="N11" s="598"/>
      <c r="O11" s="598">
        <v>1000000</v>
      </c>
      <c r="P11" s="598">
        <f>P10+N11-O11</f>
        <v>94000000</v>
      </c>
      <c r="Q11" s="598"/>
      <c r="R11" s="12"/>
      <c r="S11" s="12"/>
      <c r="T11" s="598">
        <f t="shared" ref="T11:T74" si="0">T10+R11-S11</f>
        <v>17320000</v>
      </c>
    </row>
    <row r="12" spans="1:23" ht="17.25" customHeight="1" x14ac:dyDescent="0.25">
      <c r="A12" s="704" t="s">
        <v>892</v>
      </c>
      <c r="B12" s="8">
        <v>2001</v>
      </c>
      <c r="C12" s="8" t="s">
        <v>686</v>
      </c>
      <c r="D12" s="699" t="s">
        <v>359</v>
      </c>
      <c r="E12" s="598">
        <v>1000000</v>
      </c>
      <c r="F12" s="598"/>
      <c r="G12" s="598">
        <v>1000000</v>
      </c>
      <c r="H12" s="598"/>
      <c r="I12" s="598">
        <f t="shared" ref="I12:I75" si="1">I11+G12-H12</f>
        <v>2000000</v>
      </c>
      <c r="J12" s="12"/>
      <c r="K12" s="12"/>
      <c r="L12" s="598" t="e">
        <f t="shared" ref="L12:L104" si="2">L11+J12-K12</f>
        <v>#REF!</v>
      </c>
      <c r="M12" s="824" t="s">
        <v>161</v>
      </c>
      <c r="N12" s="598"/>
      <c r="O12" s="598">
        <v>1000000</v>
      </c>
      <c r="P12" s="598">
        <f t="shared" ref="P12:P106" si="3">P11+N12-O12</f>
        <v>93000000</v>
      </c>
      <c r="Q12" s="598"/>
      <c r="R12" s="12"/>
      <c r="S12" s="12"/>
      <c r="T12" s="598">
        <f t="shared" si="0"/>
        <v>17320000</v>
      </c>
    </row>
    <row r="13" spans="1:23" ht="17.25" customHeight="1" x14ac:dyDescent="0.25">
      <c r="A13" s="704" t="s">
        <v>892</v>
      </c>
      <c r="B13" s="8">
        <v>2001</v>
      </c>
      <c r="C13" s="8" t="s">
        <v>893</v>
      </c>
      <c r="D13" s="699" t="s">
        <v>359</v>
      </c>
      <c r="E13" s="598">
        <v>1000000</v>
      </c>
      <c r="F13" s="598"/>
      <c r="G13" s="598">
        <v>1000000</v>
      </c>
      <c r="H13" s="598"/>
      <c r="I13" s="598">
        <f t="shared" si="1"/>
        <v>3000000</v>
      </c>
      <c r="J13" s="12"/>
      <c r="K13" s="12"/>
      <c r="L13" s="598" t="e">
        <f t="shared" si="2"/>
        <v>#REF!</v>
      </c>
      <c r="M13" s="824" t="s">
        <v>37</v>
      </c>
      <c r="N13" s="598"/>
      <c r="O13" s="598">
        <v>1000000</v>
      </c>
      <c r="P13" s="598">
        <f t="shared" si="3"/>
        <v>92000000</v>
      </c>
      <c r="Q13" s="598"/>
      <c r="R13" s="12"/>
      <c r="S13" s="12"/>
      <c r="T13" s="598">
        <f t="shared" si="0"/>
        <v>17320000</v>
      </c>
    </row>
    <row r="14" spans="1:23" ht="17.25" customHeight="1" x14ac:dyDescent="0.25">
      <c r="A14" s="704" t="s">
        <v>892</v>
      </c>
      <c r="B14" s="8">
        <v>2001</v>
      </c>
      <c r="C14" s="8" t="s">
        <v>381</v>
      </c>
      <c r="D14" s="699" t="s">
        <v>359</v>
      </c>
      <c r="E14" s="598">
        <v>1000000</v>
      </c>
      <c r="F14" s="598"/>
      <c r="G14" s="598">
        <v>1000000</v>
      </c>
      <c r="H14" s="598"/>
      <c r="I14" s="598">
        <f t="shared" si="1"/>
        <v>4000000</v>
      </c>
      <c r="J14" s="12"/>
      <c r="K14" s="12"/>
      <c r="L14" s="598" t="e">
        <f t="shared" si="2"/>
        <v>#REF!</v>
      </c>
      <c r="M14" s="824" t="s">
        <v>154</v>
      </c>
      <c r="N14" s="598"/>
      <c r="O14" s="598">
        <v>1000000</v>
      </c>
      <c r="P14" s="598">
        <f t="shared" si="3"/>
        <v>91000000</v>
      </c>
      <c r="Q14" s="598"/>
      <c r="R14" s="12"/>
      <c r="S14" s="12"/>
      <c r="T14" s="598">
        <f t="shared" si="0"/>
        <v>17320000</v>
      </c>
    </row>
    <row r="15" spans="1:23" ht="17.25" customHeight="1" x14ac:dyDescent="0.25">
      <c r="A15" s="704" t="s">
        <v>892</v>
      </c>
      <c r="B15" s="8">
        <v>2001</v>
      </c>
      <c r="C15" s="8" t="s">
        <v>226</v>
      </c>
      <c r="D15" s="699" t="s">
        <v>359</v>
      </c>
      <c r="E15" s="598">
        <v>2000000</v>
      </c>
      <c r="F15" s="598"/>
      <c r="G15" s="598">
        <v>2000000</v>
      </c>
      <c r="H15" s="598"/>
      <c r="I15" s="598">
        <f t="shared" si="1"/>
        <v>6000000</v>
      </c>
      <c r="J15" s="12"/>
      <c r="K15" s="12"/>
      <c r="L15" s="598" t="e">
        <f t="shared" si="2"/>
        <v>#REF!</v>
      </c>
      <c r="M15" s="824" t="s">
        <v>70</v>
      </c>
      <c r="N15" s="598"/>
      <c r="O15" s="598">
        <v>2000000</v>
      </c>
      <c r="P15" s="598">
        <f t="shared" si="3"/>
        <v>89000000</v>
      </c>
      <c r="Q15" s="598"/>
      <c r="R15" s="598"/>
      <c r="S15" s="12"/>
      <c r="T15" s="598">
        <f t="shared" si="0"/>
        <v>17320000</v>
      </c>
    </row>
    <row r="16" spans="1:23" ht="17.25" customHeight="1" x14ac:dyDescent="0.25">
      <c r="A16" s="704" t="s">
        <v>892</v>
      </c>
      <c r="B16" s="8">
        <v>2001</v>
      </c>
      <c r="C16" s="8" t="s">
        <v>729</v>
      </c>
      <c r="D16" s="699" t="s">
        <v>359</v>
      </c>
      <c r="E16" s="598">
        <v>1000000</v>
      </c>
      <c r="F16" s="598"/>
      <c r="G16" s="598">
        <v>1000000</v>
      </c>
      <c r="H16" s="598"/>
      <c r="I16" s="598">
        <f t="shared" si="1"/>
        <v>7000000</v>
      </c>
      <c r="J16" s="12"/>
      <c r="K16" s="12"/>
      <c r="L16" s="598" t="e">
        <f t="shared" si="2"/>
        <v>#REF!</v>
      </c>
      <c r="M16" s="824" t="s">
        <v>49</v>
      </c>
      <c r="N16" s="598"/>
      <c r="O16" s="598">
        <v>1000000</v>
      </c>
      <c r="P16" s="598">
        <f t="shared" si="3"/>
        <v>88000000</v>
      </c>
      <c r="Q16" s="598"/>
      <c r="R16" s="598"/>
      <c r="S16" s="12"/>
      <c r="T16" s="598">
        <f t="shared" si="0"/>
        <v>17320000</v>
      </c>
    </row>
    <row r="17" spans="1:20" ht="17.25" customHeight="1" x14ac:dyDescent="0.25">
      <c r="A17" s="704" t="s">
        <v>892</v>
      </c>
      <c r="B17" s="8">
        <v>2001</v>
      </c>
      <c r="C17" s="8" t="s">
        <v>730</v>
      </c>
      <c r="D17" s="699" t="s">
        <v>359</v>
      </c>
      <c r="E17" s="598">
        <v>1000000</v>
      </c>
      <c r="F17" s="598"/>
      <c r="G17" s="598">
        <v>1000000</v>
      </c>
      <c r="H17" s="598"/>
      <c r="I17" s="598">
        <f t="shared" si="1"/>
        <v>8000000</v>
      </c>
      <c r="J17" s="12"/>
      <c r="K17" s="12"/>
      <c r="L17" s="598" t="e">
        <f t="shared" si="2"/>
        <v>#REF!</v>
      </c>
      <c r="M17" s="824" t="s">
        <v>152</v>
      </c>
      <c r="N17" s="598"/>
      <c r="O17" s="598">
        <v>1000000</v>
      </c>
      <c r="P17" s="598">
        <f t="shared" si="3"/>
        <v>87000000</v>
      </c>
      <c r="Q17" s="598"/>
      <c r="R17" s="598"/>
      <c r="S17" s="12"/>
      <c r="T17" s="598">
        <f t="shared" si="0"/>
        <v>17320000</v>
      </c>
    </row>
    <row r="18" spans="1:20" ht="17.25" customHeight="1" x14ac:dyDescent="0.25">
      <c r="A18" s="704" t="s">
        <v>892</v>
      </c>
      <c r="B18" s="8">
        <v>2001</v>
      </c>
      <c r="C18" s="8" t="s">
        <v>683</v>
      </c>
      <c r="D18" s="699" t="s">
        <v>359</v>
      </c>
      <c r="E18" s="598">
        <v>1000000</v>
      </c>
      <c r="F18" s="598"/>
      <c r="G18" s="598">
        <v>1000000</v>
      </c>
      <c r="H18" s="598"/>
      <c r="I18" s="598">
        <f t="shared" si="1"/>
        <v>9000000</v>
      </c>
      <c r="J18" s="12"/>
      <c r="K18" s="12"/>
      <c r="L18" s="598" t="e">
        <f t="shared" si="2"/>
        <v>#REF!</v>
      </c>
      <c r="M18" s="824" t="s">
        <v>62</v>
      </c>
      <c r="N18" s="598"/>
      <c r="O18" s="598">
        <v>1000000</v>
      </c>
      <c r="P18" s="598">
        <f t="shared" si="3"/>
        <v>86000000</v>
      </c>
      <c r="Q18" s="598"/>
      <c r="R18" s="598"/>
      <c r="S18" s="12"/>
      <c r="T18" s="598">
        <f t="shared" si="0"/>
        <v>17320000</v>
      </c>
    </row>
    <row r="19" spans="1:20" ht="17.25" customHeight="1" x14ac:dyDescent="0.25">
      <c r="A19" s="704" t="s">
        <v>892</v>
      </c>
      <c r="B19" s="8">
        <v>2001</v>
      </c>
      <c r="C19" s="8" t="s">
        <v>682</v>
      </c>
      <c r="D19" s="699" t="s">
        <v>359</v>
      </c>
      <c r="E19" s="598">
        <v>1000000</v>
      </c>
      <c r="F19" s="598"/>
      <c r="G19" s="598">
        <v>1000000</v>
      </c>
      <c r="H19" s="598"/>
      <c r="I19" s="598">
        <f t="shared" si="1"/>
        <v>10000000</v>
      </c>
      <c r="J19" s="12"/>
      <c r="K19" s="12"/>
      <c r="L19" s="598" t="e">
        <f t="shared" si="2"/>
        <v>#REF!</v>
      </c>
      <c r="M19" s="824" t="s">
        <v>158</v>
      </c>
      <c r="N19" s="598"/>
      <c r="O19" s="598">
        <v>1000000</v>
      </c>
      <c r="P19" s="598">
        <f t="shared" si="3"/>
        <v>85000000</v>
      </c>
      <c r="Q19" s="598"/>
      <c r="R19" s="598"/>
      <c r="S19" s="12"/>
      <c r="T19" s="598">
        <f t="shared" si="0"/>
        <v>17320000</v>
      </c>
    </row>
    <row r="20" spans="1:20" ht="17.25" customHeight="1" x14ac:dyDescent="0.25">
      <c r="A20" s="704" t="s">
        <v>892</v>
      </c>
      <c r="B20" s="8">
        <v>2001</v>
      </c>
      <c r="C20" s="8" t="s">
        <v>894</v>
      </c>
      <c r="D20" s="699" t="s">
        <v>359</v>
      </c>
      <c r="E20" s="598">
        <v>1000000</v>
      </c>
      <c r="F20" s="598"/>
      <c r="G20" s="598">
        <v>1000000</v>
      </c>
      <c r="H20" s="598"/>
      <c r="I20" s="598">
        <f t="shared" si="1"/>
        <v>11000000</v>
      </c>
      <c r="J20" s="12"/>
      <c r="K20" s="12"/>
      <c r="L20" s="598" t="e">
        <f t="shared" si="2"/>
        <v>#REF!</v>
      </c>
      <c r="M20" s="824" t="s">
        <v>69</v>
      </c>
      <c r="N20" s="598"/>
      <c r="O20" s="598">
        <v>1000000</v>
      </c>
      <c r="P20" s="598">
        <f t="shared" si="3"/>
        <v>84000000</v>
      </c>
      <c r="Q20" s="598"/>
      <c r="R20" s="598"/>
      <c r="S20" s="12"/>
      <c r="T20" s="598">
        <f t="shared" si="0"/>
        <v>17320000</v>
      </c>
    </row>
    <row r="21" spans="1:20" ht="17.25" customHeight="1" x14ac:dyDescent="0.25">
      <c r="A21" s="704" t="s">
        <v>892</v>
      </c>
      <c r="B21" s="8">
        <v>2001</v>
      </c>
      <c r="C21" s="8" t="s">
        <v>895</v>
      </c>
      <c r="D21" s="699" t="s">
        <v>359</v>
      </c>
      <c r="E21" s="598">
        <v>1000000</v>
      </c>
      <c r="F21" s="598"/>
      <c r="G21" s="598">
        <v>1000000</v>
      </c>
      <c r="H21" s="598"/>
      <c r="I21" s="598">
        <f t="shared" si="1"/>
        <v>12000000</v>
      </c>
      <c r="J21" s="12"/>
      <c r="K21" s="12"/>
      <c r="L21" s="598" t="e">
        <f t="shared" si="2"/>
        <v>#REF!</v>
      </c>
      <c r="M21" s="824" t="s">
        <v>27</v>
      </c>
      <c r="N21" s="598"/>
      <c r="O21" s="598">
        <v>1000000</v>
      </c>
      <c r="P21" s="598">
        <f t="shared" si="3"/>
        <v>83000000</v>
      </c>
      <c r="Q21" s="598"/>
      <c r="R21" s="598"/>
      <c r="S21" s="12"/>
      <c r="T21" s="598">
        <f t="shared" si="0"/>
        <v>17320000</v>
      </c>
    </row>
    <row r="22" spans="1:20" ht="17.25" customHeight="1" x14ac:dyDescent="0.25">
      <c r="A22" s="704" t="s">
        <v>892</v>
      </c>
      <c r="B22" s="8">
        <v>2001</v>
      </c>
      <c r="C22" s="8" t="s">
        <v>896</v>
      </c>
      <c r="D22" s="699" t="s">
        <v>359</v>
      </c>
      <c r="E22" s="598">
        <v>1000000</v>
      </c>
      <c r="F22" s="598"/>
      <c r="G22" s="598">
        <v>1000000</v>
      </c>
      <c r="H22" s="598"/>
      <c r="I22" s="598">
        <f t="shared" si="1"/>
        <v>13000000</v>
      </c>
      <c r="J22" s="12"/>
      <c r="K22" s="12"/>
      <c r="L22" s="598" t="e">
        <f t="shared" si="2"/>
        <v>#REF!</v>
      </c>
      <c r="M22" s="824" t="s">
        <v>44</v>
      </c>
      <c r="N22" s="598"/>
      <c r="O22" s="598">
        <v>1000000</v>
      </c>
      <c r="P22" s="598">
        <f t="shared" si="3"/>
        <v>82000000</v>
      </c>
      <c r="Q22" s="598"/>
      <c r="R22" s="598"/>
      <c r="S22" s="12"/>
      <c r="T22" s="598">
        <f t="shared" si="0"/>
        <v>17320000</v>
      </c>
    </row>
    <row r="23" spans="1:20" ht="17.25" customHeight="1" x14ac:dyDescent="0.25">
      <c r="A23" s="704" t="s">
        <v>892</v>
      </c>
      <c r="B23" s="8">
        <v>2001</v>
      </c>
      <c r="C23" s="8" t="s">
        <v>897</v>
      </c>
      <c r="D23" s="699" t="s">
        <v>359</v>
      </c>
      <c r="E23" s="598">
        <v>1000000</v>
      </c>
      <c r="F23" s="598"/>
      <c r="G23" s="598">
        <v>1000000</v>
      </c>
      <c r="H23" s="598"/>
      <c r="I23" s="598">
        <f t="shared" si="1"/>
        <v>14000000</v>
      </c>
      <c r="J23" s="12"/>
      <c r="K23" s="12"/>
      <c r="L23" s="598"/>
      <c r="M23" s="824" t="s">
        <v>22</v>
      </c>
      <c r="N23" s="598"/>
      <c r="O23" s="598">
        <v>1000000</v>
      </c>
      <c r="P23" s="598">
        <f t="shared" si="3"/>
        <v>81000000</v>
      </c>
      <c r="Q23" s="598"/>
      <c r="R23" s="598"/>
      <c r="S23" s="12"/>
      <c r="T23" s="598">
        <f t="shared" si="0"/>
        <v>17320000</v>
      </c>
    </row>
    <row r="24" spans="1:20" ht="17.25" customHeight="1" x14ac:dyDescent="0.25">
      <c r="A24" s="704" t="s">
        <v>892</v>
      </c>
      <c r="B24" s="8">
        <v>2001</v>
      </c>
      <c r="C24" s="8" t="s">
        <v>898</v>
      </c>
      <c r="D24" s="699" t="s">
        <v>359</v>
      </c>
      <c r="E24" s="598">
        <v>1000000</v>
      </c>
      <c r="F24" s="598"/>
      <c r="G24" s="598">
        <v>1000000</v>
      </c>
      <c r="H24" s="598"/>
      <c r="I24" s="598">
        <f t="shared" si="1"/>
        <v>15000000</v>
      </c>
      <c r="J24" s="12"/>
      <c r="K24" s="12"/>
      <c r="L24" s="598" t="e">
        <f>L22+J24-K24</f>
        <v>#REF!</v>
      </c>
      <c r="M24" s="824" t="s">
        <v>46</v>
      </c>
      <c r="N24" s="598"/>
      <c r="O24" s="598">
        <v>1000000</v>
      </c>
      <c r="P24" s="598">
        <f t="shared" si="3"/>
        <v>80000000</v>
      </c>
      <c r="Q24" s="598"/>
      <c r="R24" s="598"/>
      <c r="S24" s="12"/>
      <c r="T24" s="598">
        <f t="shared" si="0"/>
        <v>17320000</v>
      </c>
    </row>
    <row r="25" spans="1:20" ht="17.25" customHeight="1" x14ac:dyDescent="0.25">
      <c r="A25" s="704" t="s">
        <v>892</v>
      </c>
      <c r="B25" s="8">
        <v>2001</v>
      </c>
      <c r="C25" s="8" t="s">
        <v>899</v>
      </c>
      <c r="D25" s="699" t="s">
        <v>359</v>
      </c>
      <c r="E25" s="598">
        <v>1000000</v>
      </c>
      <c r="F25" s="598"/>
      <c r="G25" s="598">
        <v>1000000</v>
      </c>
      <c r="H25" s="598"/>
      <c r="I25" s="598">
        <f t="shared" si="1"/>
        <v>16000000</v>
      </c>
      <c r="J25" s="12"/>
      <c r="K25" s="12"/>
      <c r="L25" s="598" t="e">
        <f t="shared" si="2"/>
        <v>#REF!</v>
      </c>
      <c r="M25" s="824" t="s">
        <v>156</v>
      </c>
      <c r="N25" s="598"/>
      <c r="O25" s="598">
        <v>1000000</v>
      </c>
      <c r="P25" s="598">
        <f t="shared" si="3"/>
        <v>79000000</v>
      </c>
      <c r="Q25" s="598"/>
      <c r="R25" s="598"/>
      <c r="S25" s="12"/>
      <c r="T25" s="598">
        <f t="shared" si="0"/>
        <v>17320000</v>
      </c>
    </row>
    <row r="26" spans="1:20" ht="17.25" customHeight="1" x14ac:dyDescent="0.25">
      <c r="A26" s="704" t="s">
        <v>892</v>
      </c>
      <c r="B26" s="8">
        <v>2001</v>
      </c>
      <c r="C26" s="8" t="s">
        <v>900</v>
      </c>
      <c r="D26" s="699" t="s">
        <v>359</v>
      </c>
      <c r="E26" s="598">
        <v>1000000</v>
      </c>
      <c r="F26" s="598"/>
      <c r="G26" s="598">
        <v>1000000</v>
      </c>
      <c r="H26" s="598"/>
      <c r="I26" s="598">
        <f t="shared" si="1"/>
        <v>17000000</v>
      </c>
      <c r="J26" s="12"/>
      <c r="K26" s="12"/>
      <c r="L26" s="598"/>
      <c r="M26" s="824" t="s">
        <v>47</v>
      </c>
      <c r="N26" s="598"/>
      <c r="O26" s="598">
        <v>1000000</v>
      </c>
      <c r="P26" s="598">
        <f t="shared" si="3"/>
        <v>78000000</v>
      </c>
      <c r="Q26" s="598"/>
      <c r="R26" s="598"/>
      <c r="S26" s="12"/>
      <c r="T26" s="598">
        <f t="shared" si="0"/>
        <v>17320000</v>
      </c>
    </row>
    <row r="27" spans="1:20" ht="17.25" customHeight="1" x14ac:dyDescent="0.25">
      <c r="A27" s="704" t="s">
        <v>892</v>
      </c>
      <c r="B27" s="8">
        <v>2001</v>
      </c>
      <c r="C27" s="8" t="s">
        <v>901</v>
      </c>
      <c r="D27" s="699" t="s">
        <v>359</v>
      </c>
      <c r="E27" s="598">
        <v>1000000</v>
      </c>
      <c r="F27" s="598"/>
      <c r="G27" s="598">
        <v>1000000</v>
      </c>
      <c r="H27" s="598"/>
      <c r="I27" s="598">
        <f t="shared" si="1"/>
        <v>18000000</v>
      </c>
      <c r="J27" s="12"/>
      <c r="K27" s="12"/>
      <c r="L27" s="598"/>
      <c r="M27" s="824" t="s">
        <v>42</v>
      </c>
      <c r="N27" s="598"/>
      <c r="O27" s="598">
        <v>1000000</v>
      </c>
      <c r="P27" s="598">
        <f t="shared" si="3"/>
        <v>77000000</v>
      </c>
      <c r="Q27" s="598"/>
      <c r="R27" s="598"/>
      <c r="S27" s="12"/>
      <c r="T27" s="598">
        <f t="shared" si="0"/>
        <v>17320000</v>
      </c>
    </row>
    <row r="28" spans="1:20" ht="17.25" customHeight="1" x14ac:dyDescent="0.25">
      <c r="A28" s="704" t="s">
        <v>892</v>
      </c>
      <c r="B28" s="8">
        <v>2001</v>
      </c>
      <c r="C28" s="8" t="s">
        <v>213</v>
      </c>
      <c r="D28" s="699" t="s">
        <v>359</v>
      </c>
      <c r="E28" s="598">
        <v>1000000</v>
      </c>
      <c r="F28" s="598"/>
      <c r="G28" s="598">
        <v>1000000</v>
      </c>
      <c r="H28" s="598"/>
      <c r="I28" s="598">
        <f t="shared" si="1"/>
        <v>19000000</v>
      </c>
      <c r="J28" s="12"/>
      <c r="K28" s="12"/>
      <c r="L28" s="598"/>
      <c r="M28" s="824" t="s">
        <v>58</v>
      </c>
      <c r="N28" s="598"/>
      <c r="O28" s="598">
        <v>1000000</v>
      </c>
      <c r="P28" s="598">
        <f t="shared" si="3"/>
        <v>76000000</v>
      </c>
      <c r="Q28" s="598"/>
      <c r="R28" s="598"/>
      <c r="S28" s="12"/>
      <c r="T28" s="598">
        <f t="shared" si="0"/>
        <v>17320000</v>
      </c>
    </row>
    <row r="29" spans="1:20" ht="17.25" customHeight="1" x14ac:dyDescent="0.25">
      <c r="A29" s="704" t="s">
        <v>892</v>
      </c>
      <c r="B29" s="8">
        <v>2001</v>
      </c>
      <c r="C29" s="8" t="s">
        <v>728</v>
      </c>
      <c r="D29" s="699" t="s">
        <v>359</v>
      </c>
      <c r="E29" s="598">
        <v>1000000</v>
      </c>
      <c r="F29" s="598"/>
      <c r="G29" s="598">
        <v>1000000</v>
      </c>
      <c r="H29" s="598"/>
      <c r="I29" s="598">
        <f t="shared" si="1"/>
        <v>20000000</v>
      </c>
      <c r="J29" s="12"/>
      <c r="K29" s="12"/>
      <c r="L29" s="598"/>
      <c r="M29" s="824" t="s">
        <v>153</v>
      </c>
      <c r="N29" s="598"/>
      <c r="O29" s="598">
        <v>1000000</v>
      </c>
      <c r="P29" s="598">
        <f t="shared" si="3"/>
        <v>75000000</v>
      </c>
      <c r="Q29" s="598"/>
      <c r="R29" s="598"/>
      <c r="S29" s="12"/>
      <c r="T29" s="598">
        <f t="shared" si="0"/>
        <v>17320000</v>
      </c>
    </row>
    <row r="30" spans="1:20" ht="17.25" customHeight="1" x14ac:dyDescent="0.25">
      <c r="A30" s="704" t="s">
        <v>892</v>
      </c>
      <c r="B30" s="823">
        <v>4103</v>
      </c>
      <c r="C30" s="8" t="s">
        <v>902</v>
      </c>
      <c r="D30" s="699" t="s">
        <v>210</v>
      </c>
      <c r="E30" s="598">
        <v>600000</v>
      </c>
      <c r="F30" s="598"/>
      <c r="G30" s="598">
        <v>600000</v>
      </c>
      <c r="H30" s="598"/>
      <c r="I30" s="598">
        <f t="shared" si="1"/>
        <v>20600000</v>
      </c>
      <c r="J30" s="12"/>
      <c r="K30" s="12"/>
      <c r="L30" s="598"/>
      <c r="M30" s="12"/>
      <c r="N30" s="598"/>
      <c r="O30" s="598"/>
      <c r="P30" s="598">
        <f t="shared" si="3"/>
        <v>75000000</v>
      </c>
      <c r="Q30" s="598"/>
      <c r="R30" s="598"/>
      <c r="S30" s="12"/>
      <c r="T30" s="598">
        <f t="shared" si="0"/>
        <v>17320000</v>
      </c>
    </row>
    <row r="31" spans="1:20" ht="17.25" customHeight="1" x14ac:dyDescent="0.25">
      <c r="A31" s="704" t="s">
        <v>892</v>
      </c>
      <c r="B31" s="8">
        <v>2001</v>
      </c>
      <c r="C31" s="8" t="s">
        <v>193</v>
      </c>
      <c r="D31" s="699" t="s">
        <v>732</v>
      </c>
      <c r="E31" s="598"/>
      <c r="F31" s="598">
        <v>1000000</v>
      </c>
      <c r="G31" s="598"/>
      <c r="H31" s="598">
        <v>1000000</v>
      </c>
      <c r="I31" s="598">
        <f t="shared" si="1"/>
        <v>19600000</v>
      </c>
      <c r="J31" s="12"/>
      <c r="K31" s="12"/>
      <c r="L31" s="598"/>
      <c r="M31" s="824" t="s">
        <v>53</v>
      </c>
      <c r="N31" s="598">
        <v>1000000</v>
      </c>
      <c r="O31" s="598"/>
      <c r="P31" s="598">
        <f t="shared" si="3"/>
        <v>76000000</v>
      </c>
      <c r="Q31" s="598"/>
      <c r="R31" s="598"/>
      <c r="S31" s="12"/>
      <c r="T31" s="598">
        <f t="shared" si="0"/>
        <v>17320000</v>
      </c>
    </row>
    <row r="32" spans="1:20" ht="17.25" customHeight="1" x14ac:dyDescent="0.25">
      <c r="A32" s="704" t="s">
        <v>892</v>
      </c>
      <c r="B32" s="8">
        <v>2001</v>
      </c>
      <c r="C32" s="8" t="s">
        <v>686</v>
      </c>
      <c r="D32" s="699" t="s">
        <v>732</v>
      </c>
      <c r="E32" s="598"/>
      <c r="F32" s="598">
        <v>1000000</v>
      </c>
      <c r="G32" s="598"/>
      <c r="H32" s="598">
        <v>1000000</v>
      </c>
      <c r="I32" s="598">
        <f t="shared" si="1"/>
        <v>18600000</v>
      </c>
      <c r="J32" s="12"/>
      <c r="K32" s="12"/>
      <c r="L32" s="598"/>
      <c r="M32" s="824" t="s">
        <v>161</v>
      </c>
      <c r="N32" s="598">
        <v>1000000</v>
      </c>
      <c r="O32" s="598"/>
      <c r="P32" s="598">
        <f t="shared" si="3"/>
        <v>77000000</v>
      </c>
      <c r="Q32" s="598"/>
      <c r="R32" s="598"/>
      <c r="S32" s="12"/>
      <c r="T32" s="598">
        <f t="shared" si="0"/>
        <v>17320000</v>
      </c>
    </row>
    <row r="33" spans="1:20" ht="17.25" customHeight="1" x14ac:dyDescent="0.25">
      <c r="A33" s="704" t="s">
        <v>892</v>
      </c>
      <c r="B33" s="8">
        <v>2001</v>
      </c>
      <c r="C33" s="8" t="s">
        <v>893</v>
      </c>
      <c r="D33" s="699" t="s">
        <v>732</v>
      </c>
      <c r="E33" s="598"/>
      <c r="F33" s="598">
        <v>1000000</v>
      </c>
      <c r="G33" s="598"/>
      <c r="H33" s="598">
        <v>1000000</v>
      </c>
      <c r="I33" s="598">
        <f t="shared" si="1"/>
        <v>17600000</v>
      </c>
      <c r="J33" s="12"/>
      <c r="K33" s="12"/>
      <c r="L33" s="598"/>
      <c r="M33" s="824" t="s">
        <v>37</v>
      </c>
      <c r="N33" s="598">
        <v>1000000</v>
      </c>
      <c r="O33" s="598"/>
      <c r="P33" s="598">
        <f t="shared" si="3"/>
        <v>78000000</v>
      </c>
      <c r="Q33" s="598"/>
      <c r="R33" s="598"/>
      <c r="S33" s="12"/>
      <c r="T33" s="598">
        <f t="shared" si="0"/>
        <v>17320000</v>
      </c>
    </row>
    <row r="34" spans="1:20" ht="17.25" customHeight="1" x14ac:dyDescent="0.25">
      <c r="A34" s="704" t="s">
        <v>890</v>
      </c>
      <c r="B34" s="8">
        <v>2001</v>
      </c>
      <c r="C34" s="8" t="s">
        <v>381</v>
      </c>
      <c r="D34" s="699" t="s">
        <v>732</v>
      </c>
      <c r="E34" s="598"/>
      <c r="F34" s="598">
        <v>1000000</v>
      </c>
      <c r="G34" s="598"/>
      <c r="H34" s="598">
        <v>1000000</v>
      </c>
      <c r="I34" s="598">
        <f t="shared" si="1"/>
        <v>16600000</v>
      </c>
      <c r="J34" s="12"/>
      <c r="K34" s="12"/>
      <c r="L34" s="598"/>
      <c r="M34" s="824" t="s">
        <v>154</v>
      </c>
      <c r="N34" s="598">
        <v>1000000</v>
      </c>
      <c r="O34" s="598"/>
      <c r="P34" s="598">
        <f t="shared" si="3"/>
        <v>79000000</v>
      </c>
      <c r="Q34" s="598"/>
      <c r="R34" s="598"/>
      <c r="S34" s="12"/>
      <c r="T34" s="598">
        <f t="shared" si="0"/>
        <v>17320000</v>
      </c>
    </row>
    <row r="35" spans="1:20" ht="17.25" customHeight="1" x14ac:dyDescent="0.25">
      <c r="A35" s="704" t="s">
        <v>890</v>
      </c>
      <c r="B35" s="8">
        <v>2001</v>
      </c>
      <c r="C35" s="8" t="s">
        <v>226</v>
      </c>
      <c r="D35" s="699" t="s">
        <v>732</v>
      </c>
      <c r="E35" s="598"/>
      <c r="F35" s="598">
        <v>2000000</v>
      </c>
      <c r="G35" s="598"/>
      <c r="H35" s="598">
        <v>2000000</v>
      </c>
      <c r="I35" s="598">
        <f t="shared" si="1"/>
        <v>14600000</v>
      </c>
      <c r="J35" s="12"/>
      <c r="K35" s="12"/>
      <c r="L35" s="598"/>
      <c r="M35" s="824" t="s">
        <v>70</v>
      </c>
      <c r="N35" s="598">
        <v>2000000</v>
      </c>
      <c r="O35" s="598"/>
      <c r="P35" s="598">
        <f t="shared" si="3"/>
        <v>81000000</v>
      </c>
      <c r="Q35" s="598"/>
      <c r="R35" s="598"/>
      <c r="S35" s="12"/>
      <c r="T35" s="598">
        <f t="shared" si="0"/>
        <v>17320000</v>
      </c>
    </row>
    <row r="36" spans="1:20" ht="17.25" customHeight="1" x14ac:dyDescent="0.25">
      <c r="A36" s="704" t="s">
        <v>890</v>
      </c>
      <c r="B36" s="8">
        <v>2001</v>
      </c>
      <c r="C36" s="8" t="s">
        <v>729</v>
      </c>
      <c r="D36" s="699" t="s">
        <v>732</v>
      </c>
      <c r="E36" s="598"/>
      <c r="F36" s="598">
        <v>1000000</v>
      </c>
      <c r="G36" s="598"/>
      <c r="H36" s="598">
        <v>1000000</v>
      </c>
      <c r="I36" s="598">
        <f t="shared" si="1"/>
        <v>13600000</v>
      </c>
      <c r="J36" s="12"/>
      <c r="K36" s="12"/>
      <c r="L36" s="598"/>
      <c r="M36" s="824" t="s">
        <v>49</v>
      </c>
      <c r="N36" s="598">
        <v>1000000</v>
      </c>
      <c r="O36" s="598"/>
      <c r="P36" s="598">
        <f t="shared" si="3"/>
        <v>82000000</v>
      </c>
      <c r="Q36" s="598"/>
      <c r="R36" s="598"/>
      <c r="S36" s="12"/>
      <c r="T36" s="598">
        <f t="shared" si="0"/>
        <v>17320000</v>
      </c>
    </row>
    <row r="37" spans="1:20" ht="17.25" customHeight="1" x14ac:dyDescent="0.25">
      <c r="A37" s="704" t="s">
        <v>890</v>
      </c>
      <c r="B37" s="8">
        <v>2001</v>
      </c>
      <c r="C37" s="8" t="s">
        <v>730</v>
      </c>
      <c r="D37" s="699" t="s">
        <v>732</v>
      </c>
      <c r="E37" s="598"/>
      <c r="F37" s="598">
        <v>1000000</v>
      </c>
      <c r="G37" s="598"/>
      <c r="H37" s="598">
        <v>1000000</v>
      </c>
      <c r="I37" s="598">
        <f t="shared" si="1"/>
        <v>12600000</v>
      </c>
      <c r="J37" s="12"/>
      <c r="K37" s="12"/>
      <c r="L37" s="598"/>
      <c r="M37" s="824" t="s">
        <v>152</v>
      </c>
      <c r="N37" s="598">
        <v>1000000</v>
      </c>
      <c r="O37" s="598"/>
      <c r="P37" s="598">
        <f t="shared" si="3"/>
        <v>83000000</v>
      </c>
      <c r="Q37" s="598"/>
      <c r="R37" s="598"/>
      <c r="S37" s="12"/>
      <c r="T37" s="598">
        <f t="shared" si="0"/>
        <v>17320000</v>
      </c>
    </row>
    <row r="38" spans="1:20" ht="17.25" customHeight="1" x14ac:dyDescent="0.25">
      <c r="A38" s="704" t="s">
        <v>890</v>
      </c>
      <c r="B38" s="8">
        <v>2001</v>
      </c>
      <c r="C38" s="8" t="s">
        <v>683</v>
      </c>
      <c r="D38" s="699" t="s">
        <v>732</v>
      </c>
      <c r="E38" s="598"/>
      <c r="F38" s="598">
        <v>1000000</v>
      </c>
      <c r="G38" s="598"/>
      <c r="H38" s="598">
        <v>1000000</v>
      </c>
      <c r="I38" s="598">
        <f t="shared" si="1"/>
        <v>11600000</v>
      </c>
      <c r="J38" s="12"/>
      <c r="K38" s="12"/>
      <c r="L38" s="598"/>
      <c r="M38" s="824" t="s">
        <v>62</v>
      </c>
      <c r="N38" s="598">
        <v>1000000</v>
      </c>
      <c r="O38" s="598"/>
      <c r="P38" s="598">
        <f t="shared" si="3"/>
        <v>84000000</v>
      </c>
      <c r="Q38" s="598"/>
      <c r="R38" s="598"/>
      <c r="S38" s="12"/>
      <c r="T38" s="598">
        <f t="shared" si="0"/>
        <v>17320000</v>
      </c>
    </row>
    <row r="39" spans="1:20" ht="17.25" customHeight="1" x14ac:dyDescent="0.25">
      <c r="A39" s="704" t="s">
        <v>890</v>
      </c>
      <c r="B39" s="8">
        <v>2001</v>
      </c>
      <c r="C39" s="8" t="s">
        <v>682</v>
      </c>
      <c r="D39" s="699" t="s">
        <v>732</v>
      </c>
      <c r="E39" s="598"/>
      <c r="F39" s="598">
        <v>1000000</v>
      </c>
      <c r="G39" s="598"/>
      <c r="H39" s="598">
        <v>1000000</v>
      </c>
      <c r="I39" s="598">
        <f t="shared" si="1"/>
        <v>10600000</v>
      </c>
      <c r="J39" s="12"/>
      <c r="K39" s="12"/>
      <c r="L39" s="598"/>
      <c r="M39" s="824" t="s">
        <v>158</v>
      </c>
      <c r="N39" s="598">
        <v>1000000</v>
      </c>
      <c r="O39" s="598"/>
      <c r="P39" s="598">
        <f t="shared" si="3"/>
        <v>85000000</v>
      </c>
      <c r="Q39" s="598"/>
      <c r="R39" s="598"/>
      <c r="S39" s="12"/>
      <c r="T39" s="598">
        <f t="shared" si="0"/>
        <v>17320000</v>
      </c>
    </row>
    <row r="40" spans="1:20" ht="17.25" customHeight="1" x14ac:dyDescent="0.25">
      <c r="A40" s="704" t="s">
        <v>890</v>
      </c>
      <c r="B40" s="8">
        <v>2001</v>
      </c>
      <c r="C40" s="8" t="s">
        <v>894</v>
      </c>
      <c r="D40" s="699" t="s">
        <v>732</v>
      </c>
      <c r="E40" s="598"/>
      <c r="F40" s="598">
        <v>1000000</v>
      </c>
      <c r="G40" s="598"/>
      <c r="H40" s="598">
        <v>1000000</v>
      </c>
      <c r="I40" s="598">
        <f t="shared" si="1"/>
        <v>9600000</v>
      </c>
      <c r="J40" s="12"/>
      <c r="K40" s="12"/>
      <c r="L40" s="598"/>
      <c r="M40" s="824" t="s">
        <v>69</v>
      </c>
      <c r="N40" s="598">
        <v>1000000</v>
      </c>
      <c r="O40" s="598"/>
      <c r="P40" s="598">
        <f t="shared" si="3"/>
        <v>86000000</v>
      </c>
      <c r="Q40" s="598"/>
      <c r="R40" s="598"/>
      <c r="S40" s="12"/>
      <c r="T40" s="598">
        <f t="shared" si="0"/>
        <v>17320000</v>
      </c>
    </row>
    <row r="41" spans="1:20" ht="17.25" customHeight="1" x14ac:dyDescent="0.25">
      <c r="A41" s="704" t="s">
        <v>890</v>
      </c>
      <c r="B41" s="8">
        <v>2001</v>
      </c>
      <c r="C41" s="8" t="s">
        <v>895</v>
      </c>
      <c r="D41" s="699" t="s">
        <v>732</v>
      </c>
      <c r="E41" s="598"/>
      <c r="F41" s="598">
        <v>1000000</v>
      </c>
      <c r="G41" s="598"/>
      <c r="H41" s="598">
        <v>1000000</v>
      </c>
      <c r="I41" s="598">
        <f t="shared" si="1"/>
        <v>8600000</v>
      </c>
      <c r="J41" s="12"/>
      <c r="K41" s="12"/>
      <c r="L41" s="598"/>
      <c r="M41" s="824" t="s">
        <v>27</v>
      </c>
      <c r="N41" s="598">
        <v>1000000</v>
      </c>
      <c r="O41" s="598"/>
      <c r="P41" s="598">
        <f t="shared" si="3"/>
        <v>87000000</v>
      </c>
      <c r="Q41" s="598"/>
      <c r="R41" s="598"/>
      <c r="S41" s="12"/>
      <c r="T41" s="598">
        <f t="shared" si="0"/>
        <v>17320000</v>
      </c>
    </row>
    <row r="42" spans="1:20" ht="17.25" customHeight="1" x14ac:dyDescent="0.25">
      <c r="A42" s="704" t="s">
        <v>890</v>
      </c>
      <c r="B42" s="8">
        <v>2001</v>
      </c>
      <c r="C42" s="8" t="s">
        <v>896</v>
      </c>
      <c r="D42" s="699" t="s">
        <v>732</v>
      </c>
      <c r="E42" s="598"/>
      <c r="F42" s="598">
        <v>1000000</v>
      </c>
      <c r="G42" s="598"/>
      <c r="H42" s="598">
        <v>1000000</v>
      </c>
      <c r="I42" s="598">
        <f t="shared" si="1"/>
        <v>7600000</v>
      </c>
      <c r="J42" s="12"/>
      <c r="K42" s="12"/>
      <c r="L42" s="598"/>
      <c r="M42" s="824" t="s">
        <v>44</v>
      </c>
      <c r="N42" s="598">
        <v>1000000</v>
      </c>
      <c r="O42" s="598"/>
      <c r="P42" s="598">
        <f t="shared" si="3"/>
        <v>88000000</v>
      </c>
      <c r="Q42" s="598"/>
      <c r="R42" s="598"/>
      <c r="S42" s="12"/>
      <c r="T42" s="598">
        <f t="shared" si="0"/>
        <v>17320000</v>
      </c>
    </row>
    <row r="43" spans="1:20" ht="17.25" customHeight="1" x14ac:dyDescent="0.25">
      <c r="A43" s="704"/>
      <c r="B43" s="8">
        <v>2001</v>
      </c>
      <c r="C43" s="8" t="s">
        <v>897</v>
      </c>
      <c r="D43" s="699" t="s">
        <v>732</v>
      </c>
      <c r="E43" s="598"/>
      <c r="F43" s="598">
        <v>1000000</v>
      </c>
      <c r="G43" s="598"/>
      <c r="H43" s="598">
        <v>1000000</v>
      </c>
      <c r="I43" s="598">
        <f t="shared" si="1"/>
        <v>6600000</v>
      </c>
      <c r="J43" s="12"/>
      <c r="K43" s="12"/>
      <c r="L43" s="598"/>
      <c r="M43" s="824" t="s">
        <v>22</v>
      </c>
      <c r="N43" s="598">
        <v>1000000</v>
      </c>
      <c r="O43" s="598"/>
      <c r="P43" s="598">
        <f t="shared" si="3"/>
        <v>89000000</v>
      </c>
      <c r="Q43" s="598"/>
      <c r="R43" s="598"/>
      <c r="S43" s="12"/>
      <c r="T43" s="598">
        <f t="shared" si="0"/>
        <v>17320000</v>
      </c>
    </row>
    <row r="44" spans="1:20" ht="17.25" customHeight="1" x14ac:dyDescent="0.25">
      <c r="A44" s="704" t="s">
        <v>890</v>
      </c>
      <c r="B44" s="8">
        <v>2001</v>
      </c>
      <c r="C44" s="8" t="s">
        <v>898</v>
      </c>
      <c r="D44" s="699" t="s">
        <v>732</v>
      </c>
      <c r="E44" s="598"/>
      <c r="F44" s="598">
        <v>1000000</v>
      </c>
      <c r="G44" s="598"/>
      <c r="H44" s="598">
        <v>1000000</v>
      </c>
      <c r="I44" s="598">
        <f t="shared" si="1"/>
        <v>5600000</v>
      </c>
      <c r="J44" s="12"/>
      <c r="K44" s="12"/>
      <c r="L44" s="598"/>
      <c r="M44" s="824" t="s">
        <v>46</v>
      </c>
      <c r="N44" s="598">
        <v>1000000</v>
      </c>
      <c r="O44" s="598"/>
      <c r="P44" s="598">
        <f t="shared" si="3"/>
        <v>90000000</v>
      </c>
      <c r="Q44" s="598"/>
      <c r="R44" s="598"/>
      <c r="S44" s="12"/>
      <c r="T44" s="598">
        <f t="shared" si="0"/>
        <v>17320000</v>
      </c>
    </row>
    <row r="45" spans="1:20" ht="17.25" customHeight="1" x14ac:dyDescent="0.25">
      <c r="A45" s="704" t="s">
        <v>890</v>
      </c>
      <c r="B45" s="8">
        <v>2001</v>
      </c>
      <c r="C45" s="8" t="s">
        <v>899</v>
      </c>
      <c r="D45" s="699" t="s">
        <v>732</v>
      </c>
      <c r="E45" s="598"/>
      <c r="F45" s="598">
        <v>1000000</v>
      </c>
      <c r="G45" s="598"/>
      <c r="H45" s="598">
        <v>1000000</v>
      </c>
      <c r="I45" s="598">
        <f t="shared" si="1"/>
        <v>4600000</v>
      </c>
      <c r="J45" s="12"/>
      <c r="K45" s="12"/>
      <c r="L45" s="598"/>
      <c r="M45" s="824" t="s">
        <v>156</v>
      </c>
      <c r="N45" s="598">
        <v>1000000</v>
      </c>
      <c r="O45" s="598"/>
      <c r="P45" s="598">
        <f t="shared" si="3"/>
        <v>91000000</v>
      </c>
      <c r="Q45" s="598"/>
      <c r="R45" s="598"/>
      <c r="S45" s="12"/>
      <c r="T45" s="598">
        <f t="shared" si="0"/>
        <v>17320000</v>
      </c>
    </row>
    <row r="46" spans="1:20" ht="17.25" customHeight="1" x14ac:dyDescent="0.25">
      <c r="A46" s="704" t="s">
        <v>890</v>
      </c>
      <c r="B46" s="8">
        <v>2001</v>
      </c>
      <c r="C46" s="8" t="s">
        <v>900</v>
      </c>
      <c r="D46" s="699" t="s">
        <v>732</v>
      </c>
      <c r="E46" s="598"/>
      <c r="F46" s="598">
        <v>1000000</v>
      </c>
      <c r="G46" s="598"/>
      <c r="H46" s="598">
        <v>1000000</v>
      </c>
      <c r="I46" s="598">
        <f t="shared" si="1"/>
        <v>3600000</v>
      </c>
      <c r="J46" s="12"/>
      <c r="K46" s="12"/>
      <c r="L46" s="598"/>
      <c r="M46" s="824" t="s">
        <v>47</v>
      </c>
      <c r="N46" s="598">
        <v>1000000</v>
      </c>
      <c r="O46" s="598"/>
      <c r="P46" s="598">
        <f t="shared" si="3"/>
        <v>92000000</v>
      </c>
      <c r="Q46" s="598"/>
      <c r="R46" s="598"/>
      <c r="S46" s="12"/>
      <c r="T46" s="598">
        <f t="shared" si="0"/>
        <v>17320000</v>
      </c>
    </row>
    <row r="47" spans="1:20" ht="17.25" customHeight="1" x14ac:dyDescent="0.25">
      <c r="A47" s="704" t="s">
        <v>890</v>
      </c>
      <c r="B47" s="8">
        <v>2001</v>
      </c>
      <c r="C47" s="8" t="s">
        <v>901</v>
      </c>
      <c r="D47" s="699" t="s">
        <v>732</v>
      </c>
      <c r="E47" s="598"/>
      <c r="F47" s="598">
        <v>1000000</v>
      </c>
      <c r="G47" s="598"/>
      <c r="H47" s="598">
        <v>1000000</v>
      </c>
      <c r="I47" s="598">
        <f t="shared" si="1"/>
        <v>2600000</v>
      </c>
      <c r="J47" s="12"/>
      <c r="K47" s="12"/>
      <c r="L47" s="598"/>
      <c r="M47" s="824" t="s">
        <v>42</v>
      </c>
      <c r="N47" s="598">
        <v>1000000</v>
      </c>
      <c r="O47" s="598"/>
      <c r="P47" s="598">
        <f t="shared" si="3"/>
        <v>93000000</v>
      </c>
      <c r="Q47" s="598"/>
      <c r="R47" s="598"/>
      <c r="S47" s="12"/>
      <c r="T47" s="598">
        <f t="shared" si="0"/>
        <v>17320000</v>
      </c>
    </row>
    <row r="48" spans="1:20" ht="17.25" customHeight="1" x14ac:dyDescent="0.25">
      <c r="A48" s="704" t="s">
        <v>890</v>
      </c>
      <c r="B48" s="8">
        <v>2001</v>
      </c>
      <c r="C48" s="8" t="s">
        <v>213</v>
      </c>
      <c r="D48" s="699" t="s">
        <v>732</v>
      </c>
      <c r="E48" s="598"/>
      <c r="F48" s="598">
        <v>1000000</v>
      </c>
      <c r="G48" s="598"/>
      <c r="H48" s="598">
        <v>1000000</v>
      </c>
      <c r="I48" s="598">
        <f t="shared" si="1"/>
        <v>1600000</v>
      </c>
      <c r="J48" s="12"/>
      <c r="K48" s="12"/>
      <c r="L48" s="598"/>
      <c r="M48" s="824" t="s">
        <v>58</v>
      </c>
      <c r="N48" s="598">
        <v>1000000</v>
      </c>
      <c r="O48" s="598"/>
      <c r="P48" s="598">
        <f t="shared" si="3"/>
        <v>94000000</v>
      </c>
      <c r="Q48" s="598"/>
      <c r="R48" s="598"/>
      <c r="S48" s="12"/>
      <c r="T48" s="598">
        <f t="shared" si="0"/>
        <v>17320000</v>
      </c>
    </row>
    <row r="49" spans="1:20" ht="17.25" customHeight="1" x14ac:dyDescent="0.25">
      <c r="A49" s="704" t="s">
        <v>890</v>
      </c>
      <c r="B49" s="8">
        <v>2001</v>
      </c>
      <c r="C49" s="8" t="s">
        <v>728</v>
      </c>
      <c r="D49" s="699" t="s">
        <v>732</v>
      </c>
      <c r="E49" s="598"/>
      <c r="F49" s="598">
        <v>1000000</v>
      </c>
      <c r="G49" s="598"/>
      <c r="H49" s="598">
        <v>1000000</v>
      </c>
      <c r="I49" s="598">
        <f t="shared" si="1"/>
        <v>600000</v>
      </c>
      <c r="J49" s="12"/>
      <c r="K49" s="12"/>
      <c r="L49" s="598"/>
      <c r="M49" s="824" t="s">
        <v>153</v>
      </c>
      <c r="N49" s="598">
        <v>1000000</v>
      </c>
      <c r="O49" s="598"/>
      <c r="P49" s="598">
        <f t="shared" si="3"/>
        <v>95000000</v>
      </c>
      <c r="Q49" s="598"/>
      <c r="R49" s="598"/>
      <c r="S49" s="12"/>
      <c r="T49" s="598">
        <f t="shared" si="0"/>
        <v>17320000</v>
      </c>
    </row>
    <row r="50" spans="1:20" ht="17.25" customHeight="1" x14ac:dyDescent="0.25">
      <c r="A50" s="704" t="s">
        <v>890</v>
      </c>
      <c r="B50" s="12">
        <v>4101</v>
      </c>
      <c r="C50" s="8" t="s">
        <v>193</v>
      </c>
      <c r="D50" s="699" t="s">
        <v>360</v>
      </c>
      <c r="E50" s="598">
        <v>90000</v>
      </c>
      <c r="F50" s="598"/>
      <c r="G50" s="598">
        <v>90000</v>
      </c>
      <c r="H50" s="598">
        <f>E50-G50</f>
        <v>0</v>
      </c>
      <c r="I50" s="598">
        <f t="shared" si="1"/>
        <v>690000</v>
      </c>
      <c r="J50" s="12"/>
      <c r="K50" s="12"/>
      <c r="L50" s="598"/>
      <c r="M50" s="12"/>
      <c r="N50" s="598"/>
      <c r="O50" s="598"/>
      <c r="P50" s="598">
        <f t="shared" si="3"/>
        <v>95000000</v>
      </c>
      <c r="Q50" s="598"/>
      <c r="R50" s="598"/>
      <c r="S50" s="12"/>
      <c r="T50" s="598">
        <f t="shared" si="0"/>
        <v>17320000</v>
      </c>
    </row>
    <row r="51" spans="1:20" ht="17.25" customHeight="1" x14ac:dyDescent="0.25">
      <c r="A51" s="704" t="s">
        <v>890</v>
      </c>
      <c r="B51" s="12">
        <v>4101</v>
      </c>
      <c r="C51" s="8" t="s">
        <v>686</v>
      </c>
      <c r="D51" s="699" t="s">
        <v>360</v>
      </c>
      <c r="E51" s="598">
        <v>90000</v>
      </c>
      <c r="F51" s="598"/>
      <c r="G51" s="598">
        <v>90000</v>
      </c>
      <c r="H51" s="598">
        <f t="shared" ref="H51:H107" si="4">E51-G51</f>
        <v>0</v>
      </c>
      <c r="I51" s="598">
        <f t="shared" si="1"/>
        <v>780000</v>
      </c>
      <c r="J51" s="12"/>
      <c r="K51" s="12"/>
      <c r="L51" s="598"/>
      <c r="M51" s="12"/>
      <c r="N51" s="598"/>
      <c r="O51" s="598"/>
      <c r="P51" s="598">
        <f t="shared" si="3"/>
        <v>95000000</v>
      </c>
      <c r="Q51" s="598"/>
      <c r="R51" s="598"/>
      <c r="S51" s="12"/>
      <c r="T51" s="598">
        <f t="shared" si="0"/>
        <v>17320000</v>
      </c>
    </row>
    <row r="52" spans="1:20" ht="17.25" customHeight="1" x14ac:dyDescent="0.25">
      <c r="A52" s="704" t="s">
        <v>890</v>
      </c>
      <c r="B52" s="12">
        <v>4101</v>
      </c>
      <c r="C52" s="8" t="s">
        <v>893</v>
      </c>
      <c r="D52" s="699" t="s">
        <v>360</v>
      </c>
      <c r="E52" s="598">
        <v>90000</v>
      </c>
      <c r="F52" s="598"/>
      <c r="G52" s="598">
        <v>90000</v>
      </c>
      <c r="H52" s="598">
        <f t="shared" si="4"/>
        <v>0</v>
      </c>
      <c r="I52" s="598">
        <f t="shared" si="1"/>
        <v>870000</v>
      </c>
      <c r="J52" s="12"/>
      <c r="K52" s="12"/>
      <c r="L52" s="598"/>
      <c r="M52" s="12"/>
      <c r="N52" s="598"/>
      <c r="O52" s="598"/>
      <c r="P52" s="598">
        <f t="shared" si="3"/>
        <v>95000000</v>
      </c>
      <c r="Q52" s="598"/>
      <c r="R52" s="598"/>
      <c r="S52" s="12"/>
      <c r="T52" s="598">
        <f t="shared" si="0"/>
        <v>17320000</v>
      </c>
    </row>
    <row r="53" spans="1:20" ht="17.25" customHeight="1" x14ac:dyDescent="0.25">
      <c r="A53" s="704" t="s">
        <v>890</v>
      </c>
      <c r="B53" s="12">
        <v>4101</v>
      </c>
      <c r="C53" s="8" t="s">
        <v>381</v>
      </c>
      <c r="D53" s="699" t="s">
        <v>360</v>
      </c>
      <c r="E53" s="598">
        <v>90000</v>
      </c>
      <c r="F53" s="598"/>
      <c r="G53" s="598">
        <v>90000</v>
      </c>
      <c r="H53" s="598">
        <f t="shared" si="4"/>
        <v>0</v>
      </c>
      <c r="I53" s="598">
        <f t="shared" si="1"/>
        <v>960000</v>
      </c>
      <c r="J53" s="12"/>
      <c r="K53" s="12"/>
      <c r="L53" s="598"/>
      <c r="M53" s="12"/>
      <c r="N53" s="598"/>
      <c r="O53" s="598"/>
      <c r="P53" s="598">
        <f t="shared" si="3"/>
        <v>95000000</v>
      </c>
      <c r="Q53" s="598"/>
      <c r="R53" s="598"/>
      <c r="S53" s="12"/>
      <c r="T53" s="598">
        <f t="shared" si="0"/>
        <v>17320000</v>
      </c>
    </row>
    <row r="54" spans="1:20" ht="17.25" customHeight="1" x14ac:dyDescent="0.25">
      <c r="A54" s="704" t="s">
        <v>890</v>
      </c>
      <c r="B54" s="12">
        <v>4101</v>
      </c>
      <c r="C54" s="8" t="s">
        <v>226</v>
      </c>
      <c r="D54" s="699" t="s">
        <v>360</v>
      </c>
      <c r="E54" s="598">
        <v>180000</v>
      </c>
      <c r="F54" s="598"/>
      <c r="G54" s="598">
        <v>180000</v>
      </c>
      <c r="H54" s="598">
        <f t="shared" si="4"/>
        <v>0</v>
      </c>
      <c r="I54" s="598">
        <f t="shared" si="1"/>
        <v>1140000</v>
      </c>
      <c r="J54" s="12"/>
      <c r="K54" s="12"/>
      <c r="L54" s="598"/>
      <c r="M54" s="12"/>
      <c r="N54" s="598"/>
      <c r="O54" s="598"/>
      <c r="P54" s="598">
        <f t="shared" si="3"/>
        <v>95000000</v>
      </c>
      <c r="Q54" s="598"/>
      <c r="R54" s="598"/>
      <c r="S54" s="12"/>
      <c r="T54" s="598">
        <f t="shared" si="0"/>
        <v>17320000</v>
      </c>
    </row>
    <row r="55" spans="1:20" ht="17.25" customHeight="1" x14ac:dyDescent="0.25">
      <c r="A55" s="704" t="s">
        <v>890</v>
      </c>
      <c r="B55" s="12">
        <v>4101</v>
      </c>
      <c r="C55" s="8" t="s">
        <v>729</v>
      </c>
      <c r="D55" s="699" t="s">
        <v>360</v>
      </c>
      <c r="E55" s="598">
        <v>90000</v>
      </c>
      <c r="F55" s="598"/>
      <c r="G55" s="598">
        <v>90000</v>
      </c>
      <c r="H55" s="598">
        <f t="shared" si="4"/>
        <v>0</v>
      </c>
      <c r="I55" s="598">
        <f t="shared" si="1"/>
        <v>1230000</v>
      </c>
      <c r="J55" s="12"/>
      <c r="K55" s="12"/>
      <c r="L55" s="598"/>
      <c r="M55" s="12"/>
      <c r="N55" s="598"/>
      <c r="O55" s="598"/>
      <c r="P55" s="598">
        <f t="shared" si="3"/>
        <v>95000000</v>
      </c>
      <c r="Q55" s="598"/>
      <c r="R55" s="598"/>
      <c r="S55" s="12"/>
      <c r="T55" s="598">
        <f t="shared" si="0"/>
        <v>17320000</v>
      </c>
    </row>
    <row r="56" spans="1:20" ht="17.25" customHeight="1" x14ac:dyDescent="0.25">
      <c r="A56" s="704" t="s">
        <v>890</v>
      </c>
      <c r="B56" s="12">
        <v>4101</v>
      </c>
      <c r="C56" s="8" t="s">
        <v>730</v>
      </c>
      <c r="D56" s="699" t="s">
        <v>360</v>
      </c>
      <c r="E56" s="598">
        <v>90000</v>
      </c>
      <c r="F56" s="598"/>
      <c r="G56" s="598">
        <v>90000</v>
      </c>
      <c r="H56" s="598">
        <f t="shared" si="4"/>
        <v>0</v>
      </c>
      <c r="I56" s="598">
        <f t="shared" si="1"/>
        <v>1320000</v>
      </c>
      <c r="J56" s="12"/>
      <c r="K56" s="12"/>
      <c r="L56" s="598"/>
      <c r="M56" s="12"/>
      <c r="N56" s="598"/>
      <c r="O56" s="598"/>
      <c r="P56" s="598">
        <f t="shared" si="3"/>
        <v>95000000</v>
      </c>
      <c r="Q56" s="598"/>
      <c r="R56" s="598"/>
      <c r="S56" s="12"/>
      <c r="T56" s="598">
        <f t="shared" si="0"/>
        <v>17320000</v>
      </c>
    </row>
    <row r="57" spans="1:20" ht="17.25" customHeight="1" x14ac:dyDescent="0.25">
      <c r="A57" s="704" t="s">
        <v>890</v>
      </c>
      <c r="B57" s="12">
        <v>4101</v>
      </c>
      <c r="C57" s="8" t="s">
        <v>683</v>
      </c>
      <c r="D57" s="699" t="s">
        <v>360</v>
      </c>
      <c r="E57" s="598">
        <v>90000</v>
      </c>
      <c r="F57" s="598"/>
      <c r="G57" s="598">
        <v>90000</v>
      </c>
      <c r="H57" s="598">
        <f t="shared" si="4"/>
        <v>0</v>
      </c>
      <c r="I57" s="598">
        <f t="shared" si="1"/>
        <v>1410000</v>
      </c>
      <c r="J57" s="12"/>
      <c r="K57" s="12"/>
      <c r="L57" s="598"/>
      <c r="M57" s="12"/>
      <c r="N57" s="598"/>
      <c r="O57" s="598"/>
      <c r="P57" s="598">
        <f t="shared" si="3"/>
        <v>95000000</v>
      </c>
      <c r="Q57" s="598"/>
      <c r="R57" s="598"/>
      <c r="S57" s="12"/>
      <c r="T57" s="598">
        <f t="shared" si="0"/>
        <v>17320000</v>
      </c>
    </row>
    <row r="58" spans="1:20" ht="17.25" customHeight="1" x14ac:dyDescent="0.25">
      <c r="A58" s="704" t="s">
        <v>890</v>
      </c>
      <c r="B58" s="12">
        <v>4101</v>
      </c>
      <c r="C58" s="8" t="s">
        <v>682</v>
      </c>
      <c r="D58" s="699" t="s">
        <v>360</v>
      </c>
      <c r="E58" s="598">
        <v>90000</v>
      </c>
      <c r="F58" s="598"/>
      <c r="G58" s="598">
        <v>90000</v>
      </c>
      <c r="H58" s="598">
        <f t="shared" si="4"/>
        <v>0</v>
      </c>
      <c r="I58" s="598">
        <f t="shared" si="1"/>
        <v>1500000</v>
      </c>
      <c r="J58" s="12"/>
      <c r="K58" s="12"/>
      <c r="L58" s="598"/>
      <c r="M58" s="12"/>
      <c r="N58" s="598"/>
      <c r="O58" s="598"/>
      <c r="P58" s="598">
        <f t="shared" si="3"/>
        <v>95000000</v>
      </c>
      <c r="Q58" s="598"/>
      <c r="R58" s="598"/>
      <c r="S58" s="12"/>
      <c r="T58" s="598">
        <f t="shared" si="0"/>
        <v>17320000</v>
      </c>
    </row>
    <row r="59" spans="1:20" ht="17.25" customHeight="1" x14ac:dyDescent="0.25">
      <c r="A59" s="704" t="s">
        <v>890</v>
      </c>
      <c r="B59" s="12">
        <v>4101</v>
      </c>
      <c r="C59" s="8" t="s">
        <v>894</v>
      </c>
      <c r="D59" s="699" t="s">
        <v>360</v>
      </c>
      <c r="E59" s="598">
        <v>90000</v>
      </c>
      <c r="F59" s="598"/>
      <c r="G59" s="598">
        <v>90000</v>
      </c>
      <c r="H59" s="598">
        <f t="shared" si="4"/>
        <v>0</v>
      </c>
      <c r="I59" s="598">
        <f t="shared" si="1"/>
        <v>1590000</v>
      </c>
      <c r="J59" s="12"/>
      <c r="K59" s="12"/>
      <c r="L59" s="598"/>
      <c r="M59" s="12"/>
      <c r="N59" s="598"/>
      <c r="O59" s="598"/>
      <c r="P59" s="598">
        <f t="shared" si="3"/>
        <v>95000000</v>
      </c>
      <c r="Q59" s="598"/>
      <c r="R59" s="598"/>
      <c r="S59" s="12"/>
      <c r="T59" s="598">
        <f t="shared" si="0"/>
        <v>17320000</v>
      </c>
    </row>
    <row r="60" spans="1:20" ht="17.25" customHeight="1" x14ac:dyDescent="0.25">
      <c r="A60" s="704" t="s">
        <v>890</v>
      </c>
      <c r="B60" s="12">
        <v>4101</v>
      </c>
      <c r="C60" s="8" t="s">
        <v>895</v>
      </c>
      <c r="D60" s="699" t="s">
        <v>360</v>
      </c>
      <c r="E60" s="598">
        <v>90000</v>
      </c>
      <c r="F60" s="598"/>
      <c r="G60" s="598">
        <v>90000</v>
      </c>
      <c r="H60" s="598">
        <f t="shared" si="4"/>
        <v>0</v>
      </c>
      <c r="I60" s="598">
        <f t="shared" si="1"/>
        <v>1680000</v>
      </c>
      <c r="J60" s="12"/>
      <c r="K60" s="12"/>
      <c r="L60" s="598"/>
      <c r="M60" s="12"/>
      <c r="N60" s="598"/>
      <c r="O60" s="598"/>
      <c r="P60" s="598">
        <f t="shared" si="3"/>
        <v>95000000</v>
      </c>
      <c r="Q60" s="598"/>
      <c r="R60" s="598"/>
      <c r="S60" s="12"/>
      <c r="T60" s="598">
        <f t="shared" si="0"/>
        <v>17320000</v>
      </c>
    </row>
    <row r="61" spans="1:20" ht="17.25" customHeight="1" x14ac:dyDescent="0.25">
      <c r="A61" s="704" t="s">
        <v>890</v>
      </c>
      <c r="B61" s="12">
        <v>4101</v>
      </c>
      <c r="C61" s="8" t="s">
        <v>896</v>
      </c>
      <c r="D61" s="699" t="s">
        <v>360</v>
      </c>
      <c r="E61" s="598">
        <v>90000</v>
      </c>
      <c r="F61" s="598"/>
      <c r="G61" s="598">
        <v>90000</v>
      </c>
      <c r="H61" s="598">
        <f t="shared" si="4"/>
        <v>0</v>
      </c>
      <c r="I61" s="598">
        <f t="shared" si="1"/>
        <v>1770000</v>
      </c>
      <c r="J61" s="12"/>
      <c r="K61" s="12"/>
      <c r="L61" s="598"/>
      <c r="M61" s="12"/>
      <c r="N61" s="598"/>
      <c r="O61" s="598"/>
      <c r="P61" s="598">
        <f t="shared" si="3"/>
        <v>95000000</v>
      </c>
      <c r="Q61" s="598"/>
      <c r="R61" s="598"/>
      <c r="S61" s="12"/>
      <c r="T61" s="598">
        <f t="shared" si="0"/>
        <v>17320000</v>
      </c>
    </row>
    <row r="62" spans="1:20" ht="17.25" customHeight="1" x14ac:dyDescent="0.25">
      <c r="A62" s="704" t="s">
        <v>890</v>
      </c>
      <c r="B62" s="12">
        <v>4101</v>
      </c>
      <c r="C62" s="8" t="s">
        <v>897</v>
      </c>
      <c r="D62" s="699" t="s">
        <v>360</v>
      </c>
      <c r="E62" s="598">
        <v>90000</v>
      </c>
      <c r="F62" s="598"/>
      <c r="G62" s="598">
        <v>90000</v>
      </c>
      <c r="H62" s="598">
        <f t="shared" si="4"/>
        <v>0</v>
      </c>
      <c r="I62" s="598">
        <f t="shared" si="1"/>
        <v>1860000</v>
      </c>
      <c r="J62" s="12"/>
      <c r="K62" s="12"/>
      <c r="L62" s="598"/>
      <c r="M62" s="12"/>
      <c r="N62" s="598"/>
      <c r="O62" s="598"/>
      <c r="P62" s="598">
        <f t="shared" si="3"/>
        <v>95000000</v>
      </c>
      <c r="Q62" s="598"/>
      <c r="R62" s="598"/>
      <c r="S62" s="12"/>
      <c r="T62" s="598">
        <f t="shared" si="0"/>
        <v>17320000</v>
      </c>
    </row>
    <row r="63" spans="1:20" ht="17.25" customHeight="1" x14ac:dyDescent="0.25">
      <c r="A63" s="704" t="s">
        <v>890</v>
      </c>
      <c r="B63" s="12">
        <v>4101</v>
      </c>
      <c r="C63" s="8" t="s">
        <v>898</v>
      </c>
      <c r="D63" s="699" t="s">
        <v>360</v>
      </c>
      <c r="E63" s="598">
        <v>90000</v>
      </c>
      <c r="F63" s="598"/>
      <c r="G63" s="598">
        <v>90000</v>
      </c>
      <c r="H63" s="598">
        <f t="shared" si="4"/>
        <v>0</v>
      </c>
      <c r="I63" s="598">
        <f t="shared" si="1"/>
        <v>1950000</v>
      </c>
      <c r="J63" s="12"/>
      <c r="K63" s="12"/>
      <c r="L63" s="598"/>
      <c r="M63" s="12"/>
      <c r="N63" s="598"/>
      <c r="O63" s="598"/>
      <c r="P63" s="598">
        <f t="shared" si="3"/>
        <v>95000000</v>
      </c>
      <c r="Q63" s="598"/>
      <c r="R63" s="598"/>
      <c r="S63" s="12"/>
      <c r="T63" s="598">
        <f t="shared" si="0"/>
        <v>17320000</v>
      </c>
    </row>
    <row r="64" spans="1:20" ht="17.25" customHeight="1" x14ac:dyDescent="0.25">
      <c r="A64" s="704" t="s">
        <v>890</v>
      </c>
      <c r="B64" s="12">
        <v>4101</v>
      </c>
      <c r="C64" s="8" t="s">
        <v>899</v>
      </c>
      <c r="D64" s="699" t="s">
        <v>360</v>
      </c>
      <c r="E64" s="598">
        <v>90000</v>
      </c>
      <c r="F64" s="598"/>
      <c r="G64" s="598">
        <v>90000</v>
      </c>
      <c r="H64" s="598">
        <f t="shared" si="4"/>
        <v>0</v>
      </c>
      <c r="I64" s="598">
        <f t="shared" si="1"/>
        <v>2040000</v>
      </c>
      <c r="J64" s="12"/>
      <c r="K64" s="12"/>
      <c r="L64" s="598"/>
      <c r="M64" s="12"/>
      <c r="N64" s="598"/>
      <c r="O64" s="598"/>
      <c r="P64" s="598">
        <f t="shared" si="3"/>
        <v>95000000</v>
      </c>
      <c r="Q64" s="598"/>
      <c r="R64" s="598"/>
      <c r="S64" s="12"/>
      <c r="T64" s="598">
        <f t="shared" si="0"/>
        <v>17320000</v>
      </c>
    </row>
    <row r="65" spans="1:20" ht="17.25" customHeight="1" x14ac:dyDescent="0.25">
      <c r="A65" s="704" t="s">
        <v>890</v>
      </c>
      <c r="B65" s="12">
        <v>4101</v>
      </c>
      <c r="C65" s="8" t="s">
        <v>900</v>
      </c>
      <c r="D65" s="699" t="s">
        <v>360</v>
      </c>
      <c r="E65" s="598">
        <v>90000</v>
      </c>
      <c r="F65" s="598"/>
      <c r="G65" s="598">
        <v>90000</v>
      </c>
      <c r="H65" s="598">
        <f t="shared" si="4"/>
        <v>0</v>
      </c>
      <c r="I65" s="598">
        <f t="shared" si="1"/>
        <v>2130000</v>
      </c>
      <c r="J65" s="12"/>
      <c r="K65" s="12"/>
      <c r="L65" s="598"/>
      <c r="M65" s="12"/>
      <c r="N65" s="598"/>
      <c r="O65" s="598"/>
      <c r="P65" s="598">
        <f t="shared" si="3"/>
        <v>95000000</v>
      </c>
      <c r="Q65" s="598"/>
      <c r="R65" s="598"/>
      <c r="S65" s="12"/>
      <c r="T65" s="598">
        <f t="shared" si="0"/>
        <v>17320000</v>
      </c>
    </row>
    <row r="66" spans="1:20" ht="17.25" customHeight="1" x14ac:dyDescent="0.25">
      <c r="A66" s="704" t="s">
        <v>890</v>
      </c>
      <c r="B66" s="12">
        <v>4101</v>
      </c>
      <c r="C66" s="8" t="s">
        <v>901</v>
      </c>
      <c r="D66" s="699" t="s">
        <v>360</v>
      </c>
      <c r="E66" s="598">
        <v>90000</v>
      </c>
      <c r="F66" s="598"/>
      <c r="G66" s="598">
        <v>90000</v>
      </c>
      <c r="H66" s="598">
        <f t="shared" si="4"/>
        <v>0</v>
      </c>
      <c r="I66" s="598">
        <f t="shared" si="1"/>
        <v>2220000</v>
      </c>
      <c r="J66" s="12"/>
      <c r="K66" s="12"/>
      <c r="L66" s="598"/>
      <c r="M66" s="12"/>
      <c r="N66" s="598"/>
      <c r="O66" s="598"/>
      <c r="P66" s="598">
        <f t="shared" si="3"/>
        <v>95000000</v>
      </c>
      <c r="Q66" s="598"/>
      <c r="R66" s="598"/>
      <c r="S66" s="12"/>
      <c r="T66" s="598">
        <f t="shared" si="0"/>
        <v>17320000</v>
      </c>
    </row>
    <row r="67" spans="1:20" ht="17.25" customHeight="1" x14ac:dyDescent="0.25">
      <c r="A67" s="704" t="s">
        <v>890</v>
      </c>
      <c r="B67" s="12">
        <v>4101</v>
      </c>
      <c r="C67" s="8" t="s">
        <v>213</v>
      </c>
      <c r="D67" s="699" t="s">
        <v>360</v>
      </c>
      <c r="E67" s="598">
        <v>90000</v>
      </c>
      <c r="F67" s="598"/>
      <c r="G67" s="598">
        <v>90000</v>
      </c>
      <c r="H67" s="598">
        <f t="shared" si="4"/>
        <v>0</v>
      </c>
      <c r="I67" s="598">
        <f t="shared" si="1"/>
        <v>2310000</v>
      </c>
      <c r="J67" s="12"/>
      <c r="K67" s="12"/>
      <c r="L67" s="598"/>
      <c r="M67" s="12"/>
      <c r="N67" s="598"/>
      <c r="O67" s="598"/>
      <c r="P67" s="598">
        <f t="shared" si="3"/>
        <v>95000000</v>
      </c>
      <c r="Q67" s="598"/>
      <c r="R67" s="598"/>
      <c r="S67" s="12"/>
      <c r="T67" s="598">
        <f t="shared" si="0"/>
        <v>17320000</v>
      </c>
    </row>
    <row r="68" spans="1:20" ht="17.25" customHeight="1" x14ac:dyDescent="0.25">
      <c r="A68" s="704" t="s">
        <v>890</v>
      </c>
      <c r="B68" s="12">
        <v>4101</v>
      </c>
      <c r="C68" s="8" t="s">
        <v>728</v>
      </c>
      <c r="D68" s="699" t="s">
        <v>360</v>
      </c>
      <c r="E68" s="598">
        <v>90000</v>
      </c>
      <c r="F68" s="598"/>
      <c r="G68" s="598">
        <v>90000</v>
      </c>
      <c r="H68" s="598">
        <f t="shared" si="4"/>
        <v>0</v>
      </c>
      <c r="I68" s="598">
        <f t="shared" si="1"/>
        <v>2400000</v>
      </c>
      <c r="J68" s="12"/>
      <c r="K68" s="12"/>
      <c r="L68" s="598"/>
      <c r="M68" s="12"/>
      <c r="N68" s="598"/>
      <c r="O68" s="598"/>
      <c r="P68" s="598">
        <f t="shared" si="3"/>
        <v>95000000</v>
      </c>
      <c r="Q68" s="598"/>
      <c r="R68" s="598"/>
      <c r="S68" s="12"/>
      <c r="T68" s="598">
        <f t="shared" si="0"/>
        <v>17320000</v>
      </c>
    </row>
    <row r="69" spans="1:20" ht="17.25" customHeight="1" x14ac:dyDescent="0.25">
      <c r="A69" s="704" t="s">
        <v>890</v>
      </c>
      <c r="B69" s="12">
        <v>4102</v>
      </c>
      <c r="C69" s="8" t="s">
        <v>193</v>
      </c>
      <c r="D69" s="699" t="s">
        <v>685</v>
      </c>
      <c r="E69" s="598">
        <v>20000</v>
      </c>
      <c r="F69" s="598"/>
      <c r="G69" s="598">
        <v>20000</v>
      </c>
      <c r="H69" s="598">
        <f t="shared" si="4"/>
        <v>0</v>
      </c>
      <c r="I69" s="598">
        <f t="shared" si="1"/>
        <v>2420000</v>
      </c>
      <c r="J69" s="12"/>
      <c r="K69" s="12"/>
      <c r="L69" s="598"/>
      <c r="M69" s="12"/>
      <c r="N69" s="598"/>
      <c r="O69" s="598"/>
      <c r="P69" s="598">
        <f t="shared" si="3"/>
        <v>95000000</v>
      </c>
      <c r="Q69" s="598"/>
      <c r="R69" s="598"/>
      <c r="S69" s="12"/>
      <c r="T69" s="598">
        <f t="shared" si="0"/>
        <v>17320000</v>
      </c>
    </row>
    <row r="70" spans="1:20" ht="17.25" customHeight="1" x14ac:dyDescent="0.25">
      <c r="A70" s="704" t="s">
        <v>890</v>
      </c>
      <c r="B70" s="12">
        <v>4102</v>
      </c>
      <c r="C70" s="8" t="s">
        <v>686</v>
      </c>
      <c r="D70" s="699" t="s">
        <v>685</v>
      </c>
      <c r="E70" s="598">
        <v>20000</v>
      </c>
      <c r="F70" s="598"/>
      <c r="G70" s="598">
        <v>20000</v>
      </c>
      <c r="H70" s="598">
        <f t="shared" si="4"/>
        <v>0</v>
      </c>
      <c r="I70" s="598">
        <f t="shared" si="1"/>
        <v>2440000</v>
      </c>
      <c r="J70" s="12"/>
      <c r="K70" s="12"/>
      <c r="L70" s="598"/>
      <c r="M70" s="12"/>
      <c r="N70" s="598"/>
      <c r="O70" s="598"/>
      <c r="P70" s="598">
        <f t="shared" si="3"/>
        <v>95000000</v>
      </c>
      <c r="Q70" s="598"/>
      <c r="R70" s="598"/>
      <c r="S70" s="12"/>
      <c r="T70" s="598">
        <f t="shared" si="0"/>
        <v>17320000</v>
      </c>
    </row>
    <row r="71" spans="1:20" ht="17.25" customHeight="1" x14ac:dyDescent="0.25">
      <c r="A71" s="704" t="s">
        <v>890</v>
      </c>
      <c r="B71" s="12">
        <v>4102</v>
      </c>
      <c r="C71" s="8" t="s">
        <v>893</v>
      </c>
      <c r="D71" s="699" t="s">
        <v>685</v>
      </c>
      <c r="E71" s="598">
        <v>20000</v>
      </c>
      <c r="F71" s="598"/>
      <c r="G71" s="598">
        <v>20000</v>
      </c>
      <c r="H71" s="598">
        <f t="shared" si="4"/>
        <v>0</v>
      </c>
      <c r="I71" s="598">
        <f t="shared" si="1"/>
        <v>2460000</v>
      </c>
      <c r="J71" s="12"/>
      <c r="K71" s="12"/>
      <c r="L71" s="598"/>
      <c r="M71" s="12"/>
      <c r="N71" s="598"/>
      <c r="O71" s="598"/>
      <c r="P71" s="598">
        <f t="shared" si="3"/>
        <v>95000000</v>
      </c>
      <c r="Q71" s="598"/>
      <c r="R71" s="598"/>
      <c r="S71" s="12"/>
      <c r="T71" s="598">
        <f t="shared" si="0"/>
        <v>17320000</v>
      </c>
    </row>
    <row r="72" spans="1:20" ht="17.25" customHeight="1" x14ac:dyDescent="0.25">
      <c r="A72" s="704" t="s">
        <v>890</v>
      </c>
      <c r="B72" s="12">
        <v>4102</v>
      </c>
      <c r="C72" s="8" t="s">
        <v>381</v>
      </c>
      <c r="D72" s="699" t="s">
        <v>685</v>
      </c>
      <c r="E72" s="598">
        <v>20000</v>
      </c>
      <c r="F72" s="598"/>
      <c r="G72" s="598">
        <v>20000</v>
      </c>
      <c r="H72" s="598">
        <f t="shared" si="4"/>
        <v>0</v>
      </c>
      <c r="I72" s="598">
        <f t="shared" si="1"/>
        <v>2480000</v>
      </c>
      <c r="J72" s="12"/>
      <c r="K72" s="12"/>
      <c r="L72" s="598"/>
      <c r="M72" s="12"/>
      <c r="N72" s="598"/>
      <c r="O72" s="598"/>
      <c r="P72" s="598">
        <f t="shared" si="3"/>
        <v>95000000</v>
      </c>
      <c r="Q72" s="598"/>
      <c r="R72" s="598"/>
      <c r="S72" s="12"/>
      <c r="T72" s="598">
        <f t="shared" si="0"/>
        <v>17320000</v>
      </c>
    </row>
    <row r="73" spans="1:20" ht="17.25" customHeight="1" x14ac:dyDescent="0.25">
      <c r="A73" s="704" t="s">
        <v>890</v>
      </c>
      <c r="B73" s="12">
        <v>4102</v>
      </c>
      <c r="C73" s="8" t="s">
        <v>226</v>
      </c>
      <c r="D73" s="699" t="s">
        <v>685</v>
      </c>
      <c r="E73" s="598">
        <v>40000</v>
      </c>
      <c r="F73" s="598"/>
      <c r="G73" s="598">
        <v>40000</v>
      </c>
      <c r="H73" s="598">
        <f t="shared" si="4"/>
        <v>0</v>
      </c>
      <c r="I73" s="598">
        <f t="shared" si="1"/>
        <v>2520000</v>
      </c>
      <c r="J73" s="12"/>
      <c r="K73" s="12"/>
      <c r="L73" s="598"/>
      <c r="M73" s="12"/>
      <c r="N73" s="598"/>
      <c r="O73" s="598"/>
      <c r="P73" s="598">
        <f t="shared" si="3"/>
        <v>95000000</v>
      </c>
      <c r="Q73" s="598"/>
      <c r="R73" s="598"/>
      <c r="S73" s="12"/>
      <c r="T73" s="598">
        <f t="shared" si="0"/>
        <v>17320000</v>
      </c>
    </row>
    <row r="74" spans="1:20" ht="17.25" customHeight="1" x14ac:dyDescent="0.25">
      <c r="A74" s="704" t="s">
        <v>890</v>
      </c>
      <c r="B74" s="12">
        <v>4102</v>
      </c>
      <c r="C74" s="8" t="s">
        <v>729</v>
      </c>
      <c r="D74" s="699" t="s">
        <v>685</v>
      </c>
      <c r="E74" s="598">
        <v>20000</v>
      </c>
      <c r="F74" s="598"/>
      <c r="G74" s="598">
        <v>20000</v>
      </c>
      <c r="H74" s="598">
        <f t="shared" si="4"/>
        <v>0</v>
      </c>
      <c r="I74" s="598">
        <f t="shared" si="1"/>
        <v>2540000</v>
      </c>
      <c r="J74" s="12"/>
      <c r="K74" s="12"/>
      <c r="L74" s="598"/>
      <c r="M74" s="12"/>
      <c r="N74" s="598"/>
      <c r="O74" s="598"/>
      <c r="P74" s="598">
        <f t="shared" si="3"/>
        <v>95000000</v>
      </c>
      <c r="Q74" s="598"/>
      <c r="R74" s="598"/>
      <c r="S74" s="12"/>
      <c r="T74" s="598">
        <f t="shared" si="0"/>
        <v>17320000</v>
      </c>
    </row>
    <row r="75" spans="1:20" ht="17.25" customHeight="1" x14ac:dyDescent="0.25">
      <c r="A75" s="704" t="s">
        <v>890</v>
      </c>
      <c r="B75" s="12">
        <v>4102</v>
      </c>
      <c r="C75" s="8" t="s">
        <v>730</v>
      </c>
      <c r="D75" s="699" t="s">
        <v>685</v>
      </c>
      <c r="E75" s="598">
        <v>20000</v>
      </c>
      <c r="F75" s="598"/>
      <c r="G75" s="598">
        <v>20000</v>
      </c>
      <c r="H75" s="598">
        <f t="shared" si="4"/>
        <v>0</v>
      </c>
      <c r="I75" s="598">
        <f t="shared" si="1"/>
        <v>2560000</v>
      </c>
      <c r="J75" s="12"/>
      <c r="K75" s="12"/>
      <c r="L75" s="598"/>
      <c r="M75" s="12"/>
      <c r="N75" s="598"/>
      <c r="O75" s="598"/>
      <c r="P75" s="598">
        <f t="shared" si="3"/>
        <v>95000000</v>
      </c>
      <c r="Q75" s="598"/>
      <c r="R75" s="598"/>
      <c r="S75" s="12"/>
      <c r="T75" s="598">
        <f t="shared" ref="T75:T107" si="5">T74+R75-S75</f>
        <v>17320000</v>
      </c>
    </row>
    <row r="76" spans="1:20" ht="17.25" customHeight="1" x14ac:dyDescent="0.25">
      <c r="A76" s="704" t="s">
        <v>890</v>
      </c>
      <c r="B76" s="12">
        <v>4102</v>
      </c>
      <c r="C76" s="8" t="s">
        <v>683</v>
      </c>
      <c r="D76" s="699" t="s">
        <v>685</v>
      </c>
      <c r="E76" s="598">
        <v>20000</v>
      </c>
      <c r="F76" s="598"/>
      <c r="G76" s="598">
        <v>20000</v>
      </c>
      <c r="H76" s="598">
        <f t="shared" si="4"/>
        <v>0</v>
      </c>
      <c r="I76" s="598">
        <f t="shared" ref="I76:I107" si="6">I75+G76-H76</f>
        <v>2580000</v>
      </c>
      <c r="J76" s="12"/>
      <c r="K76" s="12"/>
      <c r="L76" s="598"/>
      <c r="M76" s="12"/>
      <c r="N76" s="598"/>
      <c r="O76" s="598"/>
      <c r="P76" s="598">
        <f t="shared" si="3"/>
        <v>95000000</v>
      </c>
      <c r="Q76" s="598"/>
      <c r="R76" s="598"/>
      <c r="S76" s="12"/>
      <c r="T76" s="598">
        <f t="shared" si="5"/>
        <v>17320000</v>
      </c>
    </row>
    <row r="77" spans="1:20" ht="17.25" customHeight="1" x14ac:dyDescent="0.25">
      <c r="A77" s="704" t="s">
        <v>890</v>
      </c>
      <c r="B77" s="12">
        <v>4102</v>
      </c>
      <c r="C77" s="8" t="s">
        <v>682</v>
      </c>
      <c r="D77" s="699" t="s">
        <v>685</v>
      </c>
      <c r="E77" s="598">
        <v>20000</v>
      </c>
      <c r="F77" s="598"/>
      <c r="G77" s="598">
        <v>20000</v>
      </c>
      <c r="H77" s="598">
        <f t="shared" si="4"/>
        <v>0</v>
      </c>
      <c r="I77" s="598">
        <f t="shared" si="6"/>
        <v>2600000</v>
      </c>
      <c r="J77" s="12"/>
      <c r="K77" s="12"/>
      <c r="L77" s="598"/>
      <c r="M77" s="12"/>
      <c r="N77" s="598"/>
      <c r="O77" s="598"/>
      <c r="P77" s="598">
        <f t="shared" si="3"/>
        <v>95000000</v>
      </c>
      <c r="Q77" s="598"/>
      <c r="R77" s="598"/>
      <c r="S77" s="12"/>
      <c r="T77" s="598">
        <f t="shared" si="5"/>
        <v>17320000</v>
      </c>
    </row>
    <row r="78" spans="1:20" ht="17.25" customHeight="1" x14ac:dyDescent="0.25">
      <c r="A78" s="704" t="s">
        <v>890</v>
      </c>
      <c r="B78" s="12">
        <v>4102</v>
      </c>
      <c r="C78" s="8" t="s">
        <v>894</v>
      </c>
      <c r="D78" s="699" t="s">
        <v>685</v>
      </c>
      <c r="E78" s="598">
        <v>20000</v>
      </c>
      <c r="F78" s="598"/>
      <c r="G78" s="598">
        <v>20000</v>
      </c>
      <c r="H78" s="598">
        <f t="shared" si="4"/>
        <v>0</v>
      </c>
      <c r="I78" s="598">
        <f t="shared" si="6"/>
        <v>2620000</v>
      </c>
      <c r="J78" s="12"/>
      <c r="K78" s="12"/>
      <c r="L78" s="598"/>
      <c r="M78" s="12"/>
      <c r="N78" s="598"/>
      <c r="O78" s="598"/>
      <c r="P78" s="598">
        <f t="shared" si="3"/>
        <v>95000000</v>
      </c>
      <c r="Q78" s="598"/>
      <c r="R78" s="598"/>
      <c r="S78" s="12"/>
      <c r="T78" s="598">
        <f t="shared" si="5"/>
        <v>17320000</v>
      </c>
    </row>
    <row r="79" spans="1:20" ht="17.25" customHeight="1" x14ac:dyDescent="0.25">
      <c r="A79" s="704" t="s">
        <v>890</v>
      </c>
      <c r="B79" s="12">
        <v>4102</v>
      </c>
      <c r="C79" s="8" t="s">
        <v>895</v>
      </c>
      <c r="D79" s="699" t="s">
        <v>685</v>
      </c>
      <c r="E79" s="598">
        <v>20000</v>
      </c>
      <c r="F79" s="598"/>
      <c r="G79" s="598">
        <v>20000</v>
      </c>
      <c r="H79" s="598">
        <f t="shared" si="4"/>
        <v>0</v>
      </c>
      <c r="I79" s="598">
        <f t="shared" si="6"/>
        <v>2640000</v>
      </c>
      <c r="J79" s="12"/>
      <c r="K79" s="12"/>
      <c r="L79" s="598"/>
      <c r="M79" s="12"/>
      <c r="N79" s="598"/>
      <c r="O79" s="598"/>
      <c r="P79" s="598">
        <f t="shared" si="3"/>
        <v>95000000</v>
      </c>
      <c r="Q79" s="598"/>
      <c r="R79" s="598"/>
      <c r="S79" s="12"/>
      <c r="T79" s="598">
        <f t="shared" si="5"/>
        <v>17320000</v>
      </c>
    </row>
    <row r="80" spans="1:20" ht="17.25" customHeight="1" x14ac:dyDescent="0.25">
      <c r="A80" s="704" t="s">
        <v>890</v>
      </c>
      <c r="B80" s="12">
        <v>4102</v>
      </c>
      <c r="C80" s="8" t="s">
        <v>896</v>
      </c>
      <c r="D80" s="699" t="s">
        <v>685</v>
      </c>
      <c r="E80" s="598">
        <v>20000</v>
      </c>
      <c r="F80" s="598"/>
      <c r="G80" s="598">
        <v>20000</v>
      </c>
      <c r="H80" s="598">
        <f t="shared" si="4"/>
        <v>0</v>
      </c>
      <c r="I80" s="598">
        <f t="shared" si="6"/>
        <v>2660000</v>
      </c>
      <c r="J80" s="12"/>
      <c r="K80" s="12"/>
      <c r="L80" s="598"/>
      <c r="M80" s="12"/>
      <c r="N80" s="598"/>
      <c r="O80" s="598"/>
      <c r="P80" s="598">
        <f t="shared" si="3"/>
        <v>95000000</v>
      </c>
      <c r="Q80" s="598"/>
      <c r="R80" s="598"/>
      <c r="S80" s="12"/>
      <c r="T80" s="598">
        <f t="shared" si="5"/>
        <v>17320000</v>
      </c>
    </row>
    <row r="81" spans="1:23" ht="17.25" customHeight="1" x14ac:dyDescent="0.25">
      <c r="A81" s="704"/>
      <c r="B81" s="12">
        <v>4102</v>
      </c>
      <c r="C81" s="8" t="s">
        <v>897</v>
      </c>
      <c r="D81" s="699" t="s">
        <v>685</v>
      </c>
      <c r="E81" s="598">
        <v>20000</v>
      </c>
      <c r="F81" s="598"/>
      <c r="G81" s="598">
        <v>20000</v>
      </c>
      <c r="H81" s="598">
        <f t="shared" si="4"/>
        <v>0</v>
      </c>
      <c r="I81" s="598">
        <f t="shared" si="6"/>
        <v>2680000</v>
      </c>
      <c r="J81" s="12"/>
      <c r="K81" s="12"/>
      <c r="L81" s="598"/>
      <c r="M81" s="12"/>
      <c r="N81" s="598"/>
      <c r="O81" s="598"/>
      <c r="P81" s="598">
        <f t="shared" si="3"/>
        <v>95000000</v>
      </c>
      <c r="Q81" s="598"/>
      <c r="R81" s="598"/>
      <c r="S81" s="12"/>
      <c r="T81" s="598">
        <f t="shared" si="5"/>
        <v>17320000</v>
      </c>
    </row>
    <row r="82" spans="1:23" ht="17.25" customHeight="1" x14ac:dyDescent="0.25">
      <c r="A82" s="704" t="s">
        <v>890</v>
      </c>
      <c r="B82" s="12">
        <v>4102</v>
      </c>
      <c r="C82" s="8" t="s">
        <v>898</v>
      </c>
      <c r="D82" s="699" t="s">
        <v>685</v>
      </c>
      <c r="E82" s="598">
        <v>20000</v>
      </c>
      <c r="F82" s="598"/>
      <c r="G82" s="598">
        <v>20000</v>
      </c>
      <c r="H82" s="598">
        <f t="shared" si="4"/>
        <v>0</v>
      </c>
      <c r="I82" s="598">
        <f t="shared" si="6"/>
        <v>2700000</v>
      </c>
      <c r="J82" s="12"/>
      <c r="K82" s="12"/>
      <c r="L82" s="598"/>
      <c r="M82" s="12"/>
      <c r="N82" s="598"/>
      <c r="O82" s="598"/>
      <c r="P82" s="598">
        <f>P81+N82-O82</f>
        <v>95000000</v>
      </c>
      <c r="Q82" s="598"/>
      <c r="R82" s="598"/>
      <c r="S82" s="12"/>
      <c r="T82" s="598">
        <f t="shared" si="5"/>
        <v>17320000</v>
      </c>
    </row>
    <row r="83" spans="1:23" ht="17.25" customHeight="1" x14ac:dyDescent="0.25">
      <c r="A83" s="704" t="s">
        <v>890</v>
      </c>
      <c r="B83" s="12">
        <v>4102</v>
      </c>
      <c r="C83" s="8" t="s">
        <v>899</v>
      </c>
      <c r="D83" s="699" t="s">
        <v>685</v>
      </c>
      <c r="E83" s="598">
        <v>20000</v>
      </c>
      <c r="F83" s="598"/>
      <c r="G83" s="598">
        <v>20000</v>
      </c>
      <c r="H83" s="598">
        <f t="shared" si="4"/>
        <v>0</v>
      </c>
      <c r="I83" s="598">
        <f t="shared" si="6"/>
        <v>2720000</v>
      </c>
      <c r="J83" s="12"/>
      <c r="K83" s="12"/>
      <c r="L83" s="598"/>
      <c r="M83" s="12"/>
      <c r="N83" s="598"/>
      <c r="O83" s="598"/>
      <c r="P83" s="598">
        <f t="shared" si="3"/>
        <v>95000000</v>
      </c>
      <c r="Q83" s="598"/>
      <c r="R83" s="598"/>
      <c r="S83" s="12"/>
      <c r="T83" s="598">
        <f t="shared" si="5"/>
        <v>17320000</v>
      </c>
    </row>
    <row r="84" spans="1:23" ht="17.25" customHeight="1" x14ac:dyDescent="0.25">
      <c r="A84" s="704" t="s">
        <v>890</v>
      </c>
      <c r="B84" s="12">
        <v>4102</v>
      </c>
      <c r="C84" s="8" t="s">
        <v>900</v>
      </c>
      <c r="D84" s="699" t="s">
        <v>685</v>
      </c>
      <c r="E84" s="598">
        <v>20000</v>
      </c>
      <c r="F84" s="598"/>
      <c r="G84" s="598">
        <v>20000</v>
      </c>
      <c r="H84" s="598">
        <f t="shared" si="4"/>
        <v>0</v>
      </c>
      <c r="I84" s="598">
        <f t="shared" si="6"/>
        <v>2740000</v>
      </c>
      <c r="J84" s="12"/>
      <c r="K84" s="12"/>
      <c r="L84" s="598"/>
      <c r="M84" s="12"/>
      <c r="N84" s="598"/>
      <c r="O84" s="598"/>
      <c r="P84" s="598">
        <f t="shared" si="3"/>
        <v>95000000</v>
      </c>
      <c r="Q84" s="598"/>
      <c r="R84" s="598"/>
      <c r="S84" s="12"/>
      <c r="T84" s="598">
        <f t="shared" si="5"/>
        <v>17320000</v>
      </c>
    </row>
    <row r="85" spans="1:23" ht="17.25" customHeight="1" x14ac:dyDescent="0.25">
      <c r="A85" s="704"/>
      <c r="B85" s="12">
        <v>4102</v>
      </c>
      <c r="C85" s="8" t="s">
        <v>901</v>
      </c>
      <c r="D85" s="699" t="s">
        <v>685</v>
      </c>
      <c r="E85" s="598">
        <v>20000</v>
      </c>
      <c r="F85" s="598"/>
      <c r="G85" s="598">
        <v>20000</v>
      </c>
      <c r="H85" s="598">
        <f t="shared" si="4"/>
        <v>0</v>
      </c>
      <c r="I85" s="598">
        <f t="shared" si="6"/>
        <v>2760000</v>
      </c>
      <c r="J85" s="12"/>
      <c r="K85" s="12"/>
      <c r="L85" s="598"/>
      <c r="M85" s="12"/>
      <c r="N85" s="598"/>
      <c r="O85" s="598"/>
      <c r="P85" s="598">
        <f t="shared" si="3"/>
        <v>95000000</v>
      </c>
      <c r="Q85" s="598"/>
      <c r="R85" s="598"/>
      <c r="S85" s="12"/>
      <c r="T85" s="598">
        <f t="shared" si="5"/>
        <v>17320000</v>
      </c>
    </row>
    <row r="86" spans="1:23" ht="17.25" customHeight="1" x14ac:dyDescent="0.25">
      <c r="A86" s="704"/>
      <c r="B86" s="12">
        <v>4102</v>
      </c>
      <c r="C86" s="8" t="s">
        <v>213</v>
      </c>
      <c r="D86" s="699" t="s">
        <v>685</v>
      </c>
      <c r="E86" s="598">
        <v>20000</v>
      </c>
      <c r="F86" s="598"/>
      <c r="G86" s="598">
        <v>20000</v>
      </c>
      <c r="H86" s="598">
        <f t="shared" si="4"/>
        <v>0</v>
      </c>
      <c r="I86" s="598">
        <f t="shared" si="6"/>
        <v>2780000</v>
      </c>
      <c r="J86" s="12"/>
      <c r="K86" s="12"/>
      <c r="L86" s="598"/>
      <c r="M86" s="12"/>
      <c r="N86" s="598"/>
      <c r="O86" s="598"/>
      <c r="P86" s="598">
        <f t="shared" si="3"/>
        <v>95000000</v>
      </c>
      <c r="Q86" s="598"/>
      <c r="R86" s="598"/>
      <c r="S86" s="12"/>
      <c r="T86" s="598">
        <f t="shared" si="5"/>
        <v>17320000</v>
      </c>
    </row>
    <row r="87" spans="1:23" ht="17.25" customHeight="1" x14ac:dyDescent="0.25">
      <c r="A87" s="704"/>
      <c r="B87" s="12">
        <v>4102</v>
      </c>
      <c r="C87" s="8" t="s">
        <v>728</v>
      </c>
      <c r="D87" s="699" t="s">
        <v>685</v>
      </c>
      <c r="E87" s="598">
        <v>20000</v>
      </c>
      <c r="F87" s="598"/>
      <c r="G87" s="598">
        <v>20000</v>
      </c>
      <c r="H87" s="598">
        <f t="shared" si="4"/>
        <v>0</v>
      </c>
      <c r="I87" s="598">
        <f t="shared" si="6"/>
        <v>2800000</v>
      </c>
      <c r="J87" s="12"/>
      <c r="K87" s="12"/>
      <c r="L87" s="598"/>
      <c r="M87" s="12"/>
      <c r="N87" s="598"/>
      <c r="O87" s="598"/>
      <c r="P87" s="598">
        <f t="shared" si="3"/>
        <v>95000000</v>
      </c>
      <c r="Q87" s="598"/>
      <c r="R87" s="598"/>
      <c r="S87" s="12"/>
      <c r="T87" s="598">
        <f t="shared" si="5"/>
        <v>17320000</v>
      </c>
    </row>
    <row r="88" spans="1:23" ht="17.25" customHeight="1" x14ac:dyDescent="0.25">
      <c r="A88" s="704"/>
      <c r="B88" s="8" t="s">
        <v>203</v>
      </c>
      <c r="C88" s="8" t="s">
        <v>193</v>
      </c>
      <c r="D88" s="699" t="s">
        <v>209</v>
      </c>
      <c r="E88" s="598">
        <v>30000</v>
      </c>
      <c r="F88" s="598"/>
      <c r="G88" s="598">
        <v>30000</v>
      </c>
      <c r="H88" s="598">
        <f t="shared" si="4"/>
        <v>0</v>
      </c>
      <c r="I88" s="598">
        <f t="shared" si="6"/>
        <v>2830000</v>
      </c>
      <c r="J88" s="12"/>
      <c r="K88" s="12"/>
      <c r="L88" s="598"/>
      <c r="M88" s="12"/>
      <c r="N88" s="598"/>
      <c r="O88" s="598"/>
      <c r="P88" s="598">
        <f t="shared" si="3"/>
        <v>95000000</v>
      </c>
      <c r="Q88" s="824" t="s">
        <v>327</v>
      </c>
      <c r="R88" s="416">
        <v>30000</v>
      </c>
      <c r="S88" s="12"/>
      <c r="T88" s="598">
        <f t="shared" si="5"/>
        <v>17350000</v>
      </c>
    </row>
    <row r="89" spans="1:23" s="9" customFormat="1" x14ac:dyDescent="0.25">
      <c r="A89" s="704" t="s">
        <v>890</v>
      </c>
      <c r="B89" s="8" t="s">
        <v>203</v>
      </c>
      <c r="C89" s="8" t="s">
        <v>686</v>
      </c>
      <c r="D89" s="699" t="s">
        <v>209</v>
      </c>
      <c r="E89" s="416">
        <v>30000</v>
      </c>
      <c r="F89" s="598"/>
      <c r="G89" s="416">
        <v>30000</v>
      </c>
      <c r="H89" s="598">
        <f t="shared" si="4"/>
        <v>0</v>
      </c>
      <c r="I89" s="598">
        <f t="shared" si="6"/>
        <v>2860000</v>
      </c>
      <c r="J89" s="12"/>
      <c r="K89" s="12"/>
      <c r="L89" s="598" t="e">
        <f>#REF!+J89-K89</f>
        <v>#REF!</v>
      </c>
      <c r="M89" s="12"/>
      <c r="N89" s="598"/>
      <c r="O89" s="12"/>
      <c r="P89" s="598">
        <f t="shared" si="3"/>
        <v>95000000</v>
      </c>
      <c r="Q89" s="824" t="s">
        <v>397</v>
      </c>
      <c r="R89" s="416">
        <v>30000</v>
      </c>
      <c r="S89" s="12"/>
      <c r="T89" s="598">
        <f t="shared" si="5"/>
        <v>17380000</v>
      </c>
      <c r="W89" s="553"/>
    </row>
    <row r="90" spans="1:23" s="9" customFormat="1" x14ac:dyDescent="0.25">
      <c r="A90" s="704" t="s">
        <v>890</v>
      </c>
      <c r="B90" s="8" t="s">
        <v>203</v>
      </c>
      <c r="C90" s="8" t="s">
        <v>893</v>
      </c>
      <c r="D90" s="699" t="s">
        <v>209</v>
      </c>
      <c r="E90" s="416">
        <v>30000</v>
      </c>
      <c r="F90" s="598"/>
      <c r="G90" s="416">
        <v>30000</v>
      </c>
      <c r="H90" s="598">
        <f t="shared" si="4"/>
        <v>0</v>
      </c>
      <c r="I90" s="598">
        <f t="shared" si="6"/>
        <v>2890000</v>
      </c>
      <c r="J90" s="12"/>
      <c r="K90" s="12"/>
      <c r="L90" s="598" t="e">
        <f t="shared" si="2"/>
        <v>#REF!</v>
      </c>
      <c r="M90" s="12"/>
      <c r="N90" s="598"/>
      <c r="O90" s="12"/>
      <c r="P90" s="598">
        <f t="shared" si="3"/>
        <v>95000000</v>
      </c>
      <c r="Q90" s="824" t="s">
        <v>311</v>
      </c>
      <c r="R90" s="416">
        <v>30000</v>
      </c>
      <c r="S90" s="12"/>
      <c r="T90" s="598">
        <f t="shared" si="5"/>
        <v>17410000</v>
      </c>
      <c r="W90" s="553"/>
    </row>
    <row r="91" spans="1:23" s="9" customFormat="1" x14ac:dyDescent="0.25">
      <c r="A91" s="704" t="s">
        <v>890</v>
      </c>
      <c r="B91" s="8" t="s">
        <v>203</v>
      </c>
      <c r="C91" s="8" t="s">
        <v>381</v>
      </c>
      <c r="D91" s="699" t="s">
        <v>209</v>
      </c>
      <c r="E91" s="416">
        <v>30000</v>
      </c>
      <c r="F91" s="598"/>
      <c r="G91" s="416">
        <v>30000</v>
      </c>
      <c r="H91" s="598">
        <f t="shared" si="4"/>
        <v>0</v>
      </c>
      <c r="I91" s="598">
        <f t="shared" si="6"/>
        <v>2920000</v>
      </c>
      <c r="J91" s="12"/>
      <c r="K91" s="12"/>
      <c r="L91" s="598" t="e">
        <f t="shared" si="2"/>
        <v>#REF!</v>
      </c>
      <c r="M91" s="12"/>
      <c r="N91" s="598"/>
      <c r="O91" s="12"/>
      <c r="P91" s="598">
        <f t="shared" si="3"/>
        <v>95000000</v>
      </c>
      <c r="Q91" s="824" t="s">
        <v>390</v>
      </c>
      <c r="R91" s="416">
        <v>30000</v>
      </c>
      <c r="S91" s="12"/>
      <c r="T91" s="598">
        <f t="shared" si="5"/>
        <v>17440000</v>
      </c>
      <c r="W91" s="553"/>
    </row>
    <row r="92" spans="1:23" s="9" customFormat="1" x14ac:dyDescent="0.25">
      <c r="A92" s="704" t="s">
        <v>890</v>
      </c>
      <c r="B92" s="8" t="s">
        <v>203</v>
      </c>
      <c r="C92" s="8" t="s">
        <v>226</v>
      </c>
      <c r="D92" s="699" t="s">
        <v>209</v>
      </c>
      <c r="E92" s="416">
        <v>60000</v>
      </c>
      <c r="F92" s="598"/>
      <c r="G92" s="416">
        <v>60000</v>
      </c>
      <c r="H92" s="598">
        <f t="shared" si="4"/>
        <v>0</v>
      </c>
      <c r="I92" s="598">
        <f t="shared" si="6"/>
        <v>2980000</v>
      </c>
      <c r="J92" s="12"/>
      <c r="K92" s="12"/>
      <c r="L92" s="598" t="e">
        <f t="shared" si="2"/>
        <v>#REF!</v>
      </c>
      <c r="M92" s="12"/>
      <c r="N92" s="598"/>
      <c r="O92" s="12"/>
      <c r="P92" s="598">
        <f t="shared" si="3"/>
        <v>95000000</v>
      </c>
      <c r="Q92" s="824" t="s">
        <v>340</v>
      </c>
      <c r="R92" s="416">
        <v>60000</v>
      </c>
      <c r="S92" s="12"/>
      <c r="T92" s="598">
        <f t="shared" si="5"/>
        <v>17500000</v>
      </c>
      <c r="W92" s="553"/>
    </row>
    <row r="93" spans="1:23" s="9" customFormat="1" x14ac:dyDescent="0.25">
      <c r="A93" s="704" t="s">
        <v>890</v>
      </c>
      <c r="B93" s="8" t="s">
        <v>203</v>
      </c>
      <c r="C93" s="8" t="s">
        <v>729</v>
      </c>
      <c r="D93" s="699" t="s">
        <v>209</v>
      </c>
      <c r="E93" s="416">
        <v>30000</v>
      </c>
      <c r="F93" s="598"/>
      <c r="G93" s="416">
        <v>30000</v>
      </c>
      <c r="H93" s="598">
        <f t="shared" si="4"/>
        <v>0</v>
      </c>
      <c r="I93" s="598">
        <f t="shared" si="6"/>
        <v>3010000</v>
      </c>
      <c r="J93" s="12"/>
      <c r="K93" s="12"/>
      <c r="L93" s="598" t="e">
        <f t="shared" si="2"/>
        <v>#REF!</v>
      </c>
      <c r="M93" s="12"/>
      <c r="N93" s="598"/>
      <c r="O93" s="12"/>
      <c r="P93" s="598">
        <f t="shared" si="3"/>
        <v>95000000</v>
      </c>
      <c r="Q93" s="824" t="s">
        <v>323</v>
      </c>
      <c r="R93" s="416">
        <v>30000</v>
      </c>
      <c r="S93" s="12"/>
      <c r="T93" s="598">
        <f t="shared" si="5"/>
        <v>17530000</v>
      </c>
      <c r="W93" s="553"/>
    </row>
    <row r="94" spans="1:23" s="9" customFormat="1" x14ac:dyDescent="0.25">
      <c r="A94" s="704" t="s">
        <v>890</v>
      </c>
      <c r="B94" s="8" t="s">
        <v>203</v>
      </c>
      <c r="C94" s="8" t="s">
        <v>730</v>
      </c>
      <c r="D94" s="699" t="s">
        <v>209</v>
      </c>
      <c r="E94" s="416">
        <v>30000</v>
      </c>
      <c r="F94" s="598"/>
      <c r="G94" s="416">
        <v>30000</v>
      </c>
      <c r="H94" s="598">
        <f t="shared" si="4"/>
        <v>0</v>
      </c>
      <c r="I94" s="598">
        <f t="shared" si="6"/>
        <v>3040000</v>
      </c>
      <c r="J94" s="12"/>
      <c r="K94" s="12"/>
      <c r="L94" s="598" t="e">
        <f t="shared" si="2"/>
        <v>#REF!</v>
      </c>
      <c r="M94" s="12"/>
      <c r="N94" s="598"/>
      <c r="O94" s="12"/>
      <c r="P94" s="598">
        <f t="shared" si="3"/>
        <v>95000000</v>
      </c>
      <c r="Q94" s="824" t="s">
        <v>388</v>
      </c>
      <c r="R94" s="416">
        <v>30000</v>
      </c>
      <c r="S94" s="12"/>
      <c r="T94" s="598">
        <f t="shared" si="5"/>
        <v>17560000</v>
      </c>
      <c r="W94" s="553"/>
    </row>
    <row r="95" spans="1:23" s="9" customFormat="1" x14ac:dyDescent="0.25">
      <c r="A95" s="704" t="s">
        <v>890</v>
      </c>
      <c r="B95" s="8" t="s">
        <v>203</v>
      </c>
      <c r="C95" s="8" t="s">
        <v>683</v>
      </c>
      <c r="D95" s="699" t="s">
        <v>209</v>
      </c>
      <c r="E95" s="416">
        <v>30000</v>
      </c>
      <c r="F95" s="598"/>
      <c r="G95" s="416">
        <v>30000</v>
      </c>
      <c r="H95" s="598">
        <f t="shared" si="4"/>
        <v>0</v>
      </c>
      <c r="I95" s="598">
        <f t="shared" si="6"/>
        <v>3070000</v>
      </c>
      <c r="J95" s="12"/>
      <c r="K95" s="12"/>
      <c r="L95" s="598" t="e">
        <f t="shared" si="2"/>
        <v>#REF!</v>
      </c>
      <c r="M95" s="12"/>
      <c r="N95" s="598"/>
      <c r="O95" s="12"/>
      <c r="P95" s="598">
        <f t="shared" si="3"/>
        <v>95000000</v>
      </c>
      <c r="Q95" s="824" t="s">
        <v>336</v>
      </c>
      <c r="R95" s="416">
        <v>30000</v>
      </c>
      <c r="S95" s="12"/>
      <c r="T95" s="598">
        <f t="shared" si="5"/>
        <v>17590000</v>
      </c>
      <c r="W95" s="553"/>
    </row>
    <row r="96" spans="1:23" s="9" customFormat="1" x14ac:dyDescent="0.25">
      <c r="A96" s="704" t="s">
        <v>890</v>
      </c>
      <c r="B96" s="8" t="s">
        <v>203</v>
      </c>
      <c r="C96" s="8" t="s">
        <v>682</v>
      </c>
      <c r="D96" s="699" t="s">
        <v>209</v>
      </c>
      <c r="E96" s="416">
        <v>30000</v>
      </c>
      <c r="F96" s="598"/>
      <c r="G96" s="416">
        <v>30000</v>
      </c>
      <c r="H96" s="598">
        <f t="shared" si="4"/>
        <v>0</v>
      </c>
      <c r="I96" s="598">
        <f t="shared" si="6"/>
        <v>3100000</v>
      </c>
      <c r="J96" s="12"/>
      <c r="K96" s="12"/>
      <c r="L96" s="598" t="e">
        <f t="shared" si="2"/>
        <v>#REF!</v>
      </c>
      <c r="M96" s="12"/>
      <c r="N96" s="598"/>
      <c r="O96" s="12"/>
      <c r="P96" s="598">
        <f t="shared" si="3"/>
        <v>95000000</v>
      </c>
      <c r="Q96" s="824" t="s">
        <v>394</v>
      </c>
      <c r="R96" s="416">
        <v>30000</v>
      </c>
      <c r="S96" s="12"/>
      <c r="T96" s="598">
        <f t="shared" si="5"/>
        <v>17620000</v>
      </c>
      <c r="W96" s="553"/>
    </row>
    <row r="97" spans="1:23" s="9" customFormat="1" x14ac:dyDescent="0.25">
      <c r="A97" s="704" t="s">
        <v>890</v>
      </c>
      <c r="B97" s="8" t="s">
        <v>203</v>
      </c>
      <c r="C97" s="8" t="s">
        <v>894</v>
      </c>
      <c r="D97" s="699" t="s">
        <v>209</v>
      </c>
      <c r="E97" s="416">
        <v>30000</v>
      </c>
      <c r="F97" s="598"/>
      <c r="G97" s="416">
        <v>30000</v>
      </c>
      <c r="H97" s="598">
        <f t="shared" si="4"/>
        <v>0</v>
      </c>
      <c r="I97" s="598">
        <f t="shared" si="6"/>
        <v>3130000</v>
      </c>
      <c r="J97" s="12"/>
      <c r="K97" s="12"/>
      <c r="L97" s="598" t="e">
        <f t="shared" si="2"/>
        <v>#REF!</v>
      </c>
      <c r="M97" s="12"/>
      <c r="N97" s="598"/>
      <c r="O97" s="12"/>
      <c r="P97" s="598">
        <f t="shared" si="3"/>
        <v>95000000</v>
      </c>
      <c r="Q97" s="824" t="s">
        <v>339</v>
      </c>
      <c r="R97" s="416">
        <v>30000</v>
      </c>
      <c r="S97" s="12"/>
      <c r="T97" s="598">
        <f t="shared" si="5"/>
        <v>17650000</v>
      </c>
      <c r="W97" s="553"/>
    </row>
    <row r="98" spans="1:23" s="9" customFormat="1" x14ac:dyDescent="0.25">
      <c r="A98" s="704" t="s">
        <v>890</v>
      </c>
      <c r="B98" s="8" t="s">
        <v>203</v>
      </c>
      <c r="C98" s="8" t="s">
        <v>895</v>
      </c>
      <c r="D98" s="699" t="s">
        <v>209</v>
      </c>
      <c r="E98" s="416">
        <v>30000</v>
      </c>
      <c r="F98" s="598"/>
      <c r="G98" s="416">
        <v>30000</v>
      </c>
      <c r="H98" s="598">
        <f t="shared" si="4"/>
        <v>0</v>
      </c>
      <c r="I98" s="598">
        <f t="shared" si="6"/>
        <v>3160000</v>
      </c>
      <c r="J98" s="12"/>
      <c r="K98" s="12"/>
      <c r="L98" s="598" t="e">
        <f t="shared" si="2"/>
        <v>#REF!</v>
      </c>
      <c r="M98" s="12"/>
      <c r="N98" s="598"/>
      <c r="O98" s="12"/>
      <c r="P98" s="598">
        <f t="shared" si="3"/>
        <v>95000000</v>
      </c>
      <c r="Q98" s="824" t="s">
        <v>302</v>
      </c>
      <c r="R98" s="416">
        <v>30000</v>
      </c>
      <c r="S98" s="12"/>
      <c r="T98" s="598">
        <f t="shared" si="5"/>
        <v>17680000</v>
      </c>
      <c r="W98" s="553"/>
    </row>
    <row r="99" spans="1:23" s="9" customFormat="1" x14ac:dyDescent="0.25">
      <c r="A99" s="704" t="s">
        <v>890</v>
      </c>
      <c r="B99" s="8" t="s">
        <v>203</v>
      </c>
      <c r="C99" s="8" t="s">
        <v>896</v>
      </c>
      <c r="D99" s="699" t="s">
        <v>209</v>
      </c>
      <c r="E99" s="416">
        <v>30000</v>
      </c>
      <c r="F99" s="598"/>
      <c r="G99" s="416">
        <v>30000</v>
      </c>
      <c r="H99" s="598">
        <f t="shared" si="4"/>
        <v>0</v>
      </c>
      <c r="I99" s="598">
        <f t="shared" si="6"/>
        <v>3190000</v>
      </c>
      <c r="J99" s="12"/>
      <c r="K99" s="12"/>
      <c r="L99" s="598" t="e">
        <f t="shared" si="2"/>
        <v>#REF!</v>
      </c>
      <c r="M99" s="12"/>
      <c r="N99" s="598"/>
      <c r="O99" s="12"/>
      <c r="P99" s="598">
        <f t="shared" si="3"/>
        <v>95000000</v>
      </c>
      <c r="Q99" s="824" t="s">
        <v>318</v>
      </c>
      <c r="R99" s="416">
        <v>30000</v>
      </c>
      <c r="S99" s="12"/>
      <c r="T99" s="598">
        <f t="shared" si="5"/>
        <v>17710000</v>
      </c>
      <c r="W99" s="553"/>
    </row>
    <row r="100" spans="1:23" s="9" customFormat="1" x14ac:dyDescent="0.25">
      <c r="A100" s="704" t="s">
        <v>890</v>
      </c>
      <c r="B100" s="8" t="s">
        <v>203</v>
      </c>
      <c r="C100" s="8" t="s">
        <v>897</v>
      </c>
      <c r="D100" s="699" t="s">
        <v>209</v>
      </c>
      <c r="E100" s="416">
        <v>30000</v>
      </c>
      <c r="F100" s="598"/>
      <c r="G100" s="416">
        <v>30000</v>
      </c>
      <c r="H100" s="598">
        <f t="shared" si="4"/>
        <v>0</v>
      </c>
      <c r="I100" s="598">
        <f t="shared" si="6"/>
        <v>3220000</v>
      </c>
      <c r="J100" s="12"/>
      <c r="K100" s="12"/>
      <c r="L100" s="598" t="e">
        <f t="shared" si="2"/>
        <v>#REF!</v>
      </c>
      <c r="M100" s="12"/>
      <c r="N100" s="598"/>
      <c r="O100" s="12"/>
      <c r="P100" s="598">
        <f t="shared" si="3"/>
        <v>95000000</v>
      </c>
      <c r="Q100" s="824" t="s">
        <v>297</v>
      </c>
      <c r="R100" s="416">
        <v>30000</v>
      </c>
      <c r="S100" s="12"/>
      <c r="T100" s="598">
        <f t="shared" si="5"/>
        <v>17740000</v>
      </c>
      <c r="W100" s="553"/>
    </row>
    <row r="101" spans="1:23" s="9" customFormat="1" x14ac:dyDescent="0.25">
      <c r="A101" s="704" t="s">
        <v>890</v>
      </c>
      <c r="B101" s="8" t="s">
        <v>203</v>
      </c>
      <c r="C101" s="8" t="s">
        <v>898</v>
      </c>
      <c r="D101" s="699" t="s">
        <v>209</v>
      </c>
      <c r="E101" s="416">
        <v>30000</v>
      </c>
      <c r="F101" s="598"/>
      <c r="G101" s="416">
        <v>30000</v>
      </c>
      <c r="H101" s="598">
        <f t="shared" si="4"/>
        <v>0</v>
      </c>
      <c r="I101" s="598">
        <f t="shared" si="6"/>
        <v>3250000</v>
      </c>
      <c r="J101" s="12"/>
      <c r="K101" s="12"/>
      <c r="L101" s="598"/>
      <c r="M101" s="12"/>
      <c r="N101" s="598"/>
      <c r="O101" s="12"/>
      <c r="P101" s="598">
        <f t="shared" si="3"/>
        <v>95000000</v>
      </c>
      <c r="Q101" s="824" t="s">
        <v>320</v>
      </c>
      <c r="R101" s="416">
        <v>30000</v>
      </c>
      <c r="S101" s="12"/>
      <c r="T101" s="598">
        <f t="shared" si="5"/>
        <v>17770000</v>
      </c>
      <c r="W101" s="553"/>
    </row>
    <row r="102" spans="1:23" s="9" customFormat="1" x14ac:dyDescent="0.25">
      <c r="A102" s="704" t="s">
        <v>890</v>
      </c>
      <c r="B102" s="8" t="s">
        <v>203</v>
      </c>
      <c r="C102" s="8" t="s">
        <v>899</v>
      </c>
      <c r="D102" s="699" t="s">
        <v>209</v>
      </c>
      <c r="E102" s="416">
        <v>30000</v>
      </c>
      <c r="F102" s="598"/>
      <c r="G102" s="416">
        <v>30000</v>
      </c>
      <c r="H102" s="598">
        <f t="shared" si="4"/>
        <v>0</v>
      </c>
      <c r="I102" s="598">
        <f t="shared" si="6"/>
        <v>3280000</v>
      </c>
      <c r="J102" s="12"/>
      <c r="K102" s="12"/>
      <c r="L102" s="598" t="e">
        <f>L100+J102-K102</f>
        <v>#REF!</v>
      </c>
      <c r="M102" s="12"/>
      <c r="N102" s="598"/>
      <c r="O102" s="12"/>
      <c r="P102" s="598">
        <f t="shared" si="3"/>
        <v>95000000</v>
      </c>
      <c r="Q102" s="824" t="s">
        <v>392</v>
      </c>
      <c r="R102" s="416">
        <v>30000</v>
      </c>
      <c r="S102" s="12"/>
      <c r="T102" s="598">
        <f t="shared" si="5"/>
        <v>17800000</v>
      </c>
      <c r="W102" s="553"/>
    </row>
    <row r="103" spans="1:23" s="9" customFormat="1" ht="18" customHeight="1" x14ac:dyDescent="0.25">
      <c r="A103" s="704" t="s">
        <v>890</v>
      </c>
      <c r="B103" s="8" t="s">
        <v>203</v>
      </c>
      <c r="C103" s="8" t="s">
        <v>900</v>
      </c>
      <c r="D103" s="699" t="s">
        <v>209</v>
      </c>
      <c r="E103" s="416">
        <v>30000</v>
      </c>
      <c r="F103" s="598"/>
      <c r="G103" s="416">
        <v>30000</v>
      </c>
      <c r="H103" s="598">
        <f t="shared" si="4"/>
        <v>0</v>
      </c>
      <c r="I103" s="598">
        <f t="shared" si="6"/>
        <v>3310000</v>
      </c>
      <c r="J103" s="12"/>
      <c r="K103" s="12"/>
      <c r="L103" s="598" t="e">
        <f t="shared" si="2"/>
        <v>#REF!</v>
      </c>
      <c r="M103" s="12"/>
      <c r="N103" s="598"/>
      <c r="O103" s="12"/>
      <c r="P103" s="598">
        <f t="shared" si="3"/>
        <v>95000000</v>
      </c>
      <c r="Q103" s="824" t="s">
        <v>321</v>
      </c>
      <c r="R103" s="416">
        <v>30000</v>
      </c>
      <c r="S103" s="12"/>
      <c r="T103" s="598">
        <f t="shared" si="5"/>
        <v>17830000</v>
      </c>
      <c r="W103" s="251"/>
    </row>
    <row r="104" spans="1:23" s="9" customFormat="1" x14ac:dyDescent="0.25">
      <c r="A104" s="704" t="s">
        <v>890</v>
      </c>
      <c r="B104" s="8" t="s">
        <v>203</v>
      </c>
      <c r="C104" s="8" t="s">
        <v>901</v>
      </c>
      <c r="D104" s="699" t="s">
        <v>209</v>
      </c>
      <c r="E104" s="416">
        <v>30000</v>
      </c>
      <c r="F104" s="598"/>
      <c r="G104" s="416">
        <v>30000</v>
      </c>
      <c r="H104" s="598">
        <f t="shared" si="4"/>
        <v>0</v>
      </c>
      <c r="I104" s="598">
        <f t="shared" si="6"/>
        <v>3340000</v>
      </c>
      <c r="J104" s="12"/>
      <c r="K104" s="12"/>
      <c r="L104" s="598" t="e">
        <f t="shared" si="2"/>
        <v>#REF!</v>
      </c>
      <c r="M104" s="12"/>
      <c r="N104" s="598"/>
      <c r="O104" s="12"/>
      <c r="P104" s="598">
        <f t="shared" si="3"/>
        <v>95000000</v>
      </c>
      <c r="Q104" s="824" t="s">
        <v>316</v>
      </c>
      <c r="R104" s="416">
        <v>30000</v>
      </c>
      <c r="S104" s="12"/>
      <c r="T104" s="598">
        <f t="shared" si="5"/>
        <v>17860000</v>
      </c>
      <c r="V104" s="631"/>
      <c r="W104" s="251"/>
    </row>
    <row r="105" spans="1:23" s="9" customFormat="1" x14ac:dyDescent="0.25">
      <c r="A105" s="704" t="s">
        <v>890</v>
      </c>
      <c r="B105" s="8" t="s">
        <v>203</v>
      </c>
      <c r="C105" s="8" t="s">
        <v>213</v>
      </c>
      <c r="D105" s="699" t="s">
        <v>209</v>
      </c>
      <c r="E105" s="416">
        <v>30000</v>
      </c>
      <c r="F105" s="598"/>
      <c r="G105" s="416">
        <v>30000</v>
      </c>
      <c r="H105" s="598">
        <f t="shared" si="4"/>
        <v>0</v>
      </c>
      <c r="I105" s="598">
        <f t="shared" si="6"/>
        <v>3370000</v>
      </c>
      <c r="J105" s="12"/>
      <c r="K105" s="12"/>
      <c r="L105" s="598"/>
      <c r="M105" s="12"/>
      <c r="N105" s="598"/>
      <c r="O105" s="12"/>
      <c r="P105" s="598">
        <f t="shared" si="3"/>
        <v>95000000</v>
      </c>
      <c r="Q105" s="824" t="s">
        <v>332</v>
      </c>
      <c r="R105" s="416">
        <v>30000</v>
      </c>
      <c r="S105" s="12"/>
      <c r="T105" s="598">
        <f t="shared" si="5"/>
        <v>17890000</v>
      </c>
      <c r="V105" s="631"/>
      <c r="W105" s="251"/>
    </row>
    <row r="106" spans="1:23" s="9" customFormat="1" x14ac:dyDescent="0.25">
      <c r="A106" s="704"/>
      <c r="B106" s="8" t="s">
        <v>203</v>
      </c>
      <c r="C106" s="8" t="s">
        <v>728</v>
      </c>
      <c r="D106" s="699" t="s">
        <v>209</v>
      </c>
      <c r="E106" s="416">
        <v>30000</v>
      </c>
      <c r="F106" s="710"/>
      <c r="G106" s="416">
        <v>30000</v>
      </c>
      <c r="H106" s="598">
        <f t="shared" si="4"/>
        <v>0</v>
      </c>
      <c r="I106" s="598">
        <f t="shared" si="6"/>
        <v>3400000</v>
      </c>
      <c r="J106" s="12"/>
      <c r="K106" s="12"/>
      <c r="L106" s="598"/>
      <c r="M106" s="12"/>
      <c r="N106" s="598"/>
      <c r="O106" s="12"/>
      <c r="P106" s="598">
        <f t="shared" si="3"/>
        <v>95000000</v>
      </c>
      <c r="Q106" s="824"/>
      <c r="R106" s="416">
        <v>30000</v>
      </c>
      <c r="S106" s="12"/>
      <c r="T106" s="598">
        <f t="shared" si="5"/>
        <v>17920000</v>
      </c>
      <c r="V106" s="631"/>
      <c r="W106" s="251"/>
    </row>
    <row r="107" spans="1:23" x14ac:dyDescent="0.25">
      <c r="A107" s="704"/>
      <c r="B107" s="8">
        <v>2002</v>
      </c>
      <c r="C107" s="8" t="s">
        <v>902</v>
      </c>
      <c r="D107" s="699" t="s">
        <v>903</v>
      </c>
      <c r="E107" s="416">
        <v>5000000</v>
      </c>
      <c r="F107" s="710"/>
      <c r="G107" s="416">
        <v>5000000</v>
      </c>
      <c r="H107" s="598">
        <f t="shared" si="4"/>
        <v>0</v>
      </c>
      <c r="I107" s="598">
        <f t="shared" si="6"/>
        <v>8400000</v>
      </c>
      <c r="J107" s="12"/>
      <c r="K107" s="12"/>
      <c r="L107" s="598" t="e">
        <f>#REF!+J107-K107</f>
        <v>#REF!</v>
      </c>
      <c r="M107" s="38" t="s">
        <v>199</v>
      </c>
      <c r="N107" s="598"/>
      <c r="O107" s="251">
        <v>5000000</v>
      </c>
      <c r="P107" s="598">
        <f t="shared" ref="P107" si="7">P106+N107-O107</f>
        <v>90000000</v>
      </c>
      <c r="Q107" s="824" t="s">
        <v>389</v>
      </c>
      <c r="R107" s="416"/>
      <c r="S107" s="12"/>
      <c r="T107" s="598">
        <f t="shared" si="5"/>
        <v>17920000</v>
      </c>
    </row>
    <row r="108" spans="1:23" x14ac:dyDescent="0.25">
      <c r="A108" s="86"/>
      <c r="B108" s="87"/>
      <c r="C108" s="87"/>
      <c r="D108" s="88" t="s">
        <v>63</v>
      </c>
      <c r="E108" s="89">
        <f>SUM(E10:E107)</f>
        <v>28400000</v>
      </c>
      <c r="F108" s="90">
        <f>SUM(F10:F107)</f>
        <v>20000000</v>
      </c>
      <c r="G108" s="90">
        <f>SUM(G10:G107)</f>
        <v>28400000</v>
      </c>
      <c r="H108" s="90">
        <f>SUM(H10:H107)</f>
        <v>20000000</v>
      </c>
      <c r="I108" s="90"/>
      <c r="J108" s="90">
        <f>SUM(J10:J107)</f>
        <v>0</v>
      </c>
      <c r="K108" s="90">
        <f>SUM(K10:K107)</f>
        <v>0</v>
      </c>
      <c r="L108" s="90"/>
      <c r="M108" s="90"/>
      <c r="N108" s="90">
        <f>SUM(N10:N107)</f>
        <v>20000000</v>
      </c>
      <c r="O108" s="90">
        <f>SUM(O10:O107)</f>
        <v>25000000</v>
      </c>
      <c r="P108" s="90"/>
      <c r="Q108" s="90"/>
      <c r="R108" s="90">
        <f>SUM(R10:R107)</f>
        <v>600000</v>
      </c>
      <c r="S108" s="90">
        <f>SUM(S10:S107)</f>
        <v>0</v>
      </c>
      <c r="T108" s="90"/>
      <c r="V108" s="254"/>
    </row>
    <row r="109" spans="1:23" x14ac:dyDescent="0.25">
      <c r="A109" s="86"/>
      <c r="B109" s="87"/>
      <c r="C109" s="87"/>
      <c r="D109" s="88" t="s">
        <v>64</v>
      </c>
      <c r="E109" s="89">
        <f>E9+E108</f>
        <v>28400000</v>
      </c>
      <c r="F109" s="90">
        <f>F9+F108</f>
        <v>20000000</v>
      </c>
      <c r="G109" s="90">
        <f>G9+G108</f>
        <v>28400000</v>
      </c>
      <c r="H109" s="90">
        <f>H9+H108</f>
        <v>20000000</v>
      </c>
      <c r="I109" s="90"/>
      <c r="J109" s="90">
        <f>J9+J108</f>
        <v>0</v>
      </c>
      <c r="K109" s="90">
        <f>K9+K108</f>
        <v>0</v>
      </c>
      <c r="L109" s="90"/>
      <c r="M109" s="90"/>
      <c r="N109" s="90">
        <f>N9+N108</f>
        <v>115000000</v>
      </c>
      <c r="O109" s="90">
        <f>O9+O108</f>
        <v>25000000</v>
      </c>
      <c r="P109" s="90"/>
      <c r="Q109" s="90"/>
      <c r="R109" s="90">
        <f>R9+R108</f>
        <v>17920000</v>
      </c>
      <c r="S109" s="90">
        <f>S9+S108</f>
        <v>0</v>
      </c>
      <c r="T109" s="90"/>
    </row>
    <row r="110" spans="1:23" x14ac:dyDescent="0.25">
      <c r="A110" s="86"/>
      <c r="B110" s="87"/>
      <c r="C110" s="87"/>
      <c r="D110" s="88" t="s">
        <v>65</v>
      </c>
      <c r="E110" s="89">
        <f>E109-F109</f>
        <v>8400000</v>
      </c>
      <c r="F110" s="86"/>
      <c r="G110" s="90">
        <f>G109-H109</f>
        <v>8400000</v>
      </c>
      <c r="H110" s="86"/>
      <c r="I110" s="86"/>
      <c r="J110" s="90">
        <f>J109-K109</f>
        <v>0</v>
      </c>
      <c r="K110" s="86"/>
      <c r="L110" s="86"/>
      <c r="M110" s="86"/>
      <c r="N110" s="90">
        <f>N109-O109</f>
        <v>90000000</v>
      </c>
      <c r="O110" s="86"/>
      <c r="P110" s="86"/>
      <c r="Q110" s="86"/>
      <c r="R110" s="90">
        <f>R109-S109</f>
        <v>17920000</v>
      </c>
      <c r="S110" s="86"/>
      <c r="T110" s="86"/>
    </row>
    <row r="111" spans="1:23" x14ac:dyDescent="0.25">
      <c r="G111" s="268"/>
      <c r="H111" s="254"/>
    </row>
    <row r="112" spans="1:23" s="70" customFormat="1" x14ac:dyDescent="0.25">
      <c r="A112" s="885" t="s">
        <v>19</v>
      </c>
      <c r="B112" s="893" t="s">
        <v>9</v>
      </c>
      <c r="C112" s="91"/>
      <c r="D112" s="891" t="s">
        <v>20</v>
      </c>
      <c r="E112" s="888" t="s">
        <v>11</v>
      </c>
      <c r="F112" s="885" t="s">
        <v>12</v>
      </c>
      <c r="G112" s="885" t="s">
        <v>0</v>
      </c>
      <c r="H112" s="885"/>
      <c r="I112" s="885"/>
      <c r="J112" s="885" t="s">
        <v>1</v>
      </c>
      <c r="K112" s="885"/>
      <c r="L112" s="885"/>
      <c r="M112" s="92"/>
      <c r="N112" s="885" t="s">
        <v>6</v>
      </c>
      <c r="O112" s="885"/>
      <c r="P112" s="885"/>
      <c r="Q112" s="890" t="s">
        <v>9</v>
      </c>
      <c r="R112" s="885" t="s">
        <v>2</v>
      </c>
      <c r="S112" s="885"/>
      <c r="T112" s="885"/>
      <c r="W112" s="251"/>
    </row>
    <row r="113" spans="1:23" s="70" customFormat="1" x14ac:dyDescent="0.25">
      <c r="A113" s="890"/>
      <c r="B113" s="894"/>
      <c r="C113" s="701"/>
      <c r="D113" s="892"/>
      <c r="E113" s="895"/>
      <c r="F113" s="890"/>
      <c r="G113" s="652" t="s">
        <v>11</v>
      </c>
      <c r="H113" s="652" t="s">
        <v>12</v>
      </c>
      <c r="I113" s="652" t="s">
        <v>21</v>
      </c>
      <c r="J113" s="652" t="s">
        <v>11</v>
      </c>
      <c r="K113" s="652" t="s">
        <v>12</v>
      </c>
      <c r="L113" s="652" t="s">
        <v>21</v>
      </c>
      <c r="M113" s="652"/>
      <c r="N113" s="652" t="s">
        <v>11</v>
      </c>
      <c r="O113" s="652" t="s">
        <v>12</v>
      </c>
      <c r="P113" s="652" t="s">
        <v>21</v>
      </c>
      <c r="Q113" s="905"/>
      <c r="R113" s="652" t="s">
        <v>11</v>
      </c>
      <c r="S113" s="652" t="s">
        <v>12</v>
      </c>
      <c r="T113" s="652" t="s">
        <v>21</v>
      </c>
      <c r="W113" s="251"/>
    </row>
    <row r="114" spans="1:23" x14ac:dyDescent="0.25">
      <c r="A114" s="702">
        <v>45668</v>
      </c>
      <c r="B114" s="103"/>
      <c r="C114" s="103" t="str">
        <f t="shared" ref="C114" si="8">LEFT(D114,5)</f>
        <v>SALDO</v>
      </c>
      <c r="D114" s="528" t="s">
        <v>29</v>
      </c>
      <c r="E114" s="415">
        <f>E110</f>
        <v>8400000</v>
      </c>
      <c r="F114" s="695"/>
      <c r="G114" s="695">
        <f>G110</f>
        <v>8400000</v>
      </c>
      <c r="H114" s="695"/>
      <c r="I114" s="695">
        <f>G114-H114</f>
        <v>8400000</v>
      </c>
      <c r="J114" s="695">
        <f>J110</f>
        <v>0</v>
      </c>
      <c r="K114" s="38"/>
      <c r="L114" s="695">
        <f>J114-K114</f>
        <v>0</v>
      </c>
      <c r="M114" s="695"/>
      <c r="N114" s="695">
        <f>N110</f>
        <v>90000000</v>
      </c>
      <c r="O114" s="38"/>
      <c r="P114" s="695">
        <f>N114-O114</f>
        <v>90000000</v>
      </c>
      <c r="Q114" s="695"/>
      <c r="R114" s="695">
        <f>R110</f>
        <v>17920000</v>
      </c>
      <c r="S114" s="38"/>
      <c r="T114" s="695">
        <f>R114-S114</f>
        <v>17920000</v>
      </c>
    </row>
    <row r="115" spans="1:23" x14ac:dyDescent="0.25">
      <c r="A115" s="702" t="s">
        <v>891</v>
      </c>
      <c r="B115" s="103">
        <v>2001</v>
      </c>
      <c r="C115" s="103" t="s">
        <v>683</v>
      </c>
      <c r="D115" s="528" t="s">
        <v>211</v>
      </c>
      <c r="E115" s="695">
        <v>1000000</v>
      </c>
      <c r="F115" s="695"/>
      <c r="G115" s="695">
        <v>1000000</v>
      </c>
      <c r="H115" s="695"/>
      <c r="I115" s="695">
        <f>I114+G115-H115</f>
        <v>9400000</v>
      </c>
      <c r="J115" s="695"/>
      <c r="K115" s="38"/>
      <c r="L115" s="695"/>
      <c r="M115" s="12" t="s">
        <v>62</v>
      </c>
      <c r="N115" s="695"/>
      <c r="O115" s="695">
        <v>1000000</v>
      </c>
      <c r="P115" s="695">
        <f>P114+N115-O115</f>
        <v>89000000</v>
      </c>
      <c r="Q115" s="695"/>
      <c r="R115" s="695"/>
      <c r="S115" s="38"/>
      <c r="T115" s="695">
        <f>T114+R115-S115</f>
        <v>17920000</v>
      </c>
    </row>
    <row r="116" spans="1:23" x14ac:dyDescent="0.25">
      <c r="A116" s="702" t="s">
        <v>891</v>
      </c>
      <c r="B116" s="103">
        <v>2001</v>
      </c>
      <c r="C116" s="103" t="s">
        <v>682</v>
      </c>
      <c r="D116" s="528" t="s">
        <v>211</v>
      </c>
      <c r="E116" s="415">
        <v>1000000</v>
      </c>
      <c r="F116" s="695"/>
      <c r="G116" s="415">
        <v>1000000</v>
      </c>
      <c r="H116" s="695"/>
      <c r="I116" s="695">
        <f t="shared" ref="I116:I158" si="9">I115+G116-H116</f>
        <v>10400000</v>
      </c>
      <c r="J116" s="695"/>
      <c r="K116" s="38"/>
      <c r="L116" s="695"/>
      <c r="M116" s="12" t="s">
        <v>158</v>
      </c>
      <c r="N116" s="695"/>
      <c r="O116" s="695">
        <v>1000000</v>
      </c>
      <c r="P116" s="695">
        <f t="shared" ref="P116:P117" si="10">P115+N116-O116</f>
        <v>88000000</v>
      </c>
      <c r="Q116" s="695"/>
      <c r="R116" s="695"/>
      <c r="S116" s="38"/>
      <c r="T116" s="695">
        <f t="shared" ref="T116:T117" si="11">T115+R116-S116</f>
        <v>17920000</v>
      </c>
    </row>
    <row r="117" spans="1:23" x14ac:dyDescent="0.25">
      <c r="A117" s="702" t="s">
        <v>891</v>
      </c>
      <c r="B117" s="103">
        <v>2001</v>
      </c>
      <c r="C117" s="103" t="s">
        <v>687</v>
      </c>
      <c r="D117" s="528" t="s">
        <v>211</v>
      </c>
      <c r="E117" s="695">
        <v>1000000</v>
      </c>
      <c r="F117" s="695"/>
      <c r="G117" s="695">
        <v>1000000</v>
      </c>
      <c r="H117" s="695"/>
      <c r="I117" s="695">
        <f t="shared" si="9"/>
        <v>11400000</v>
      </c>
      <c r="J117" s="38"/>
      <c r="K117" s="38"/>
      <c r="L117" s="696">
        <f>L114+J117-K117</f>
        <v>0</v>
      </c>
      <c r="M117" s="12" t="s">
        <v>161</v>
      </c>
      <c r="N117" s="695"/>
      <c r="O117" s="695">
        <v>1000000</v>
      </c>
      <c r="P117" s="695">
        <f t="shared" si="10"/>
        <v>87000000</v>
      </c>
      <c r="Q117" s="38"/>
      <c r="R117" s="38"/>
      <c r="S117" s="38"/>
      <c r="T117" s="695">
        <f t="shared" si="11"/>
        <v>17920000</v>
      </c>
    </row>
    <row r="118" spans="1:23" x14ac:dyDescent="0.25">
      <c r="A118" s="702" t="s">
        <v>891</v>
      </c>
      <c r="B118" s="103">
        <v>2001</v>
      </c>
      <c r="C118" s="103" t="s">
        <v>734</v>
      </c>
      <c r="D118" s="528" t="s">
        <v>211</v>
      </c>
      <c r="E118" s="695">
        <v>1000000</v>
      </c>
      <c r="F118" s="695"/>
      <c r="G118" s="695">
        <v>1000000</v>
      </c>
      <c r="H118" s="695"/>
      <c r="I118" s="695">
        <f t="shared" si="9"/>
        <v>12400000</v>
      </c>
      <c r="J118" s="38"/>
      <c r="K118" s="38"/>
      <c r="L118" s="696">
        <f t="shared" ref="L118:L125" si="12">L117+J118-K118</f>
        <v>0</v>
      </c>
      <c r="M118" s="12" t="s">
        <v>68</v>
      </c>
      <c r="N118" s="695"/>
      <c r="O118" s="695">
        <v>1000000</v>
      </c>
      <c r="P118" s="696">
        <f t="shared" ref="P118:P156" si="13">P117+N118-O118</f>
        <v>86000000</v>
      </c>
      <c r="Q118" s="38"/>
      <c r="R118" s="38"/>
      <c r="S118" s="38"/>
      <c r="T118" s="696">
        <f t="shared" ref="T118:T157" si="14">T117+R118-S118</f>
        <v>17920000</v>
      </c>
    </row>
    <row r="119" spans="1:23" x14ac:dyDescent="0.25">
      <c r="A119" s="702" t="s">
        <v>891</v>
      </c>
      <c r="B119" s="103">
        <v>2001</v>
      </c>
      <c r="C119" s="103" t="s">
        <v>736</v>
      </c>
      <c r="D119" s="528" t="s">
        <v>211</v>
      </c>
      <c r="E119" s="598">
        <v>2000000</v>
      </c>
      <c r="F119" s="695"/>
      <c r="G119" s="598">
        <v>2000000</v>
      </c>
      <c r="H119" s="695"/>
      <c r="I119" s="695">
        <f t="shared" si="9"/>
        <v>14400000</v>
      </c>
      <c r="J119" s="38"/>
      <c r="K119" s="38"/>
      <c r="L119" s="696" t="e">
        <f>#REF!+J119-K119</f>
        <v>#REF!</v>
      </c>
      <c r="M119" s="12" t="s">
        <v>70</v>
      </c>
      <c r="N119" s="695"/>
      <c r="O119" s="598">
        <v>2000000</v>
      </c>
      <c r="P119" s="696">
        <f t="shared" si="13"/>
        <v>84000000</v>
      </c>
      <c r="Q119" s="38"/>
      <c r="R119" s="38"/>
      <c r="S119" s="38"/>
      <c r="T119" s="696">
        <f t="shared" si="14"/>
        <v>17920000</v>
      </c>
    </row>
    <row r="120" spans="1:23" x14ac:dyDescent="0.25">
      <c r="A120" s="702" t="s">
        <v>891</v>
      </c>
      <c r="B120" s="103">
        <v>2001</v>
      </c>
      <c r="C120" s="103" t="s">
        <v>737</v>
      </c>
      <c r="D120" s="528" t="s">
        <v>211</v>
      </c>
      <c r="E120" s="695">
        <v>1000000</v>
      </c>
      <c r="F120" s="695"/>
      <c r="G120" s="695">
        <v>1000000</v>
      </c>
      <c r="H120" s="695"/>
      <c r="I120" s="695">
        <f t="shared" si="9"/>
        <v>15400000</v>
      </c>
      <c r="J120" s="38"/>
      <c r="K120" s="38"/>
      <c r="L120" s="696" t="e">
        <f>#REF!+J120-K120</f>
        <v>#REF!</v>
      </c>
      <c r="M120" s="12" t="s">
        <v>49</v>
      </c>
      <c r="N120" s="695"/>
      <c r="O120" s="695">
        <v>1000000</v>
      </c>
      <c r="P120" s="696">
        <f t="shared" si="13"/>
        <v>83000000</v>
      </c>
      <c r="Q120" s="38"/>
      <c r="R120" s="38"/>
      <c r="S120" s="38"/>
      <c r="T120" s="696">
        <f t="shared" si="14"/>
        <v>17920000</v>
      </c>
    </row>
    <row r="121" spans="1:23" x14ac:dyDescent="0.25">
      <c r="A121" s="702" t="s">
        <v>891</v>
      </c>
      <c r="B121" s="103">
        <v>2001</v>
      </c>
      <c r="C121" s="103" t="s">
        <v>735</v>
      </c>
      <c r="D121" s="528" t="s">
        <v>211</v>
      </c>
      <c r="E121" s="695">
        <v>1000000</v>
      </c>
      <c r="F121" s="695"/>
      <c r="G121" s="695">
        <v>1000000</v>
      </c>
      <c r="H121" s="695"/>
      <c r="I121" s="695">
        <f t="shared" si="9"/>
        <v>16400000</v>
      </c>
      <c r="J121" s="38"/>
      <c r="K121" s="38"/>
      <c r="L121" s="696" t="e">
        <f>#REF!+J121-K121</f>
        <v>#REF!</v>
      </c>
      <c r="M121" s="12" t="s">
        <v>152</v>
      </c>
      <c r="N121" s="695"/>
      <c r="O121" s="695">
        <v>1000000</v>
      </c>
      <c r="P121" s="696">
        <f t="shared" si="13"/>
        <v>82000000</v>
      </c>
      <c r="Q121" s="38"/>
      <c r="R121" s="695"/>
      <c r="S121" s="38"/>
      <c r="T121" s="696">
        <f t="shared" si="14"/>
        <v>17920000</v>
      </c>
      <c r="W121" s="251" t="e">
        <f>SUM(#REF!)</f>
        <v>#REF!</v>
      </c>
    </row>
    <row r="122" spans="1:23" s="600" customFormat="1" x14ac:dyDescent="0.25">
      <c r="A122" s="825" t="s">
        <v>891</v>
      </c>
      <c r="B122" s="826">
        <v>2001</v>
      </c>
      <c r="C122" s="826" t="s">
        <v>738</v>
      </c>
      <c r="D122" s="88" t="s">
        <v>211</v>
      </c>
      <c r="E122" s="827">
        <v>1000000</v>
      </c>
      <c r="F122" s="827"/>
      <c r="G122" s="827">
        <v>1000000</v>
      </c>
      <c r="H122" s="827"/>
      <c r="I122" s="695">
        <f t="shared" si="9"/>
        <v>17400000</v>
      </c>
      <c r="J122" s="829"/>
      <c r="K122" s="829"/>
      <c r="L122" s="828" t="e">
        <f>#REF!+J122-K122</f>
        <v>#REF!</v>
      </c>
      <c r="M122" s="12" t="s">
        <v>30</v>
      </c>
      <c r="N122" s="827"/>
      <c r="O122" s="827">
        <v>1000000</v>
      </c>
      <c r="P122" s="828">
        <f t="shared" si="13"/>
        <v>81000000</v>
      </c>
      <c r="Q122" s="829"/>
      <c r="R122" s="827"/>
      <c r="S122" s="829"/>
      <c r="T122" s="828">
        <f t="shared" si="14"/>
        <v>17920000</v>
      </c>
      <c r="W122" s="601"/>
    </row>
    <row r="123" spans="1:23" x14ac:dyDescent="0.25">
      <c r="A123" s="702" t="s">
        <v>891</v>
      </c>
      <c r="B123" s="103">
        <v>2001</v>
      </c>
      <c r="C123" s="103" t="s">
        <v>683</v>
      </c>
      <c r="D123" s="528" t="s">
        <v>904</v>
      </c>
      <c r="E123" s="695"/>
      <c r="F123" s="695">
        <v>1000000</v>
      </c>
      <c r="G123" s="695"/>
      <c r="H123" s="695">
        <v>1000000</v>
      </c>
      <c r="I123" s="695">
        <f t="shared" si="9"/>
        <v>16400000</v>
      </c>
      <c r="J123" s="38"/>
      <c r="K123" s="38"/>
      <c r="L123" s="696" t="e">
        <f>#REF!+J123-K123</f>
        <v>#REF!</v>
      </c>
      <c r="M123" s="12" t="s">
        <v>62</v>
      </c>
      <c r="N123" s="695">
        <v>1000000</v>
      </c>
      <c r="O123" s="695"/>
      <c r="P123" s="696">
        <f t="shared" si="13"/>
        <v>82000000</v>
      </c>
      <c r="Q123" s="38"/>
      <c r="R123" s="38"/>
      <c r="S123" s="38"/>
      <c r="T123" s="696">
        <f t="shared" si="14"/>
        <v>17920000</v>
      </c>
    </row>
    <row r="124" spans="1:23" x14ac:dyDescent="0.25">
      <c r="A124" s="702" t="s">
        <v>891</v>
      </c>
      <c r="B124" s="103">
        <v>2001</v>
      </c>
      <c r="C124" s="103" t="s">
        <v>682</v>
      </c>
      <c r="D124" s="528" t="s">
        <v>904</v>
      </c>
      <c r="E124" s="695"/>
      <c r="F124" s="695">
        <v>1000000</v>
      </c>
      <c r="G124" s="695"/>
      <c r="H124" s="695">
        <v>1000000</v>
      </c>
      <c r="I124" s="695">
        <f t="shared" si="9"/>
        <v>15400000</v>
      </c>
      <c r="J124" s="38"/>
      <c r="K124" s="38"/>
      <c r="L124" s="696" t="e">
        <f>#REF!+J124-K124</f>
        <v>#REF!</v>
      </c>
      <c r="M124" s="12" t="s">
        <v>158</v>
      </c>
      <c r="N124" s="695">
        <v>1000000</v>
      </c>
      <c r="O124" s="695"/>
      <c r="P124" s="696">
        <f t="shared" si="13"/>
        <v>83000000</v>
      </c>
      <c r="Q124" s="38"/>
      <c r="R124" s="38"/>
      <c r="S124" s="38"/>
      <c r="T124" s="696">
        <f t="shared" si="14"/>
        <v>17920000</v>
      </c>
    </row>
    <row r="125" spans="1:23" x14ac:dyDescent="0.25">
      <c r="A125" s="702" t="s">
        <v>891</v>
      </c>
      <c r="B125" s="103">
        <v>2001</v>
      </c>
      <c r="C125" s="103" t="s">
        <v>687</v>
      </c>
      <c r="D125" s="528" t="s">
        <v>904</v>
      </c>
      <c r="E125" s="695"/>
      <c r="F125" s="695">
        <v>1000000</v>
      </c>
      <c r="G125" s="695"/>
      <c r="H125" s="695">
        <v>1000000</v>
      </c>
      <c r="I125" s="695">
        <f t="shared" si="9"/>
        <v>14400000</v>
      </c>
      <c r="J125" s="38"/>
      <c r="K125" s="38"/>
      <c r="L125" s="696" t="e">
        <f t="shared" si="12"/>
        <v>#REF!</v>
      </c>
      <c r="M125" s="12" t="s">
        <v>161</v>
      </c>
      <c r="N125" s="695">
        <v>1000000</v>
      </c>
      <c r="O125" s="695"/>
      <c r="P125" s="696">
        <f t="shared" si="13"/>
        <v>84000000</v>
      </c>
      <c r="Q125" s="38"/>
      <c r="R125" s="38"/>
      <c r="S125" s="38"/>
      <c r="T125" s="696">
        <f t="shared" si="14"/>
        <v>17920000</v>
      </c>
    </row>
    <row r="126" spans="1:23" x14ac:dyDescent="0.25">
      <c r="A126" s="702" t="s">
        <v>891</v>
      </c>
      <c r="B126" s="103">
        <v>2001</v>
      </c>
      <c r="C126" s="103" t="s">
        <v>734</v>
      </c>
      <c r="D126" s="528" t="s">
        <v>904</v>
      </c>
      <c r="E126" s="695"/>
      <c r="F126" s="695">
        <v>1000000</v>
      </c>
      <c r="G126" s="695"/>
      <c r="H126" s="695">
        <v>1000000</v>
      </c>
      <c r="I126" s="695">
        <f t="shared" si="9"/>
        <v>13400000</v>
      </c>
      <c r="J126" s="38"/>
      <c r="K126" s="38"/>
      <c r="L126" s="696" t="e">
        <f>#REF!+J126-K126</f>
        <v>#REF!</v>
      </c>
      <c r="M126" s="12" t="s">
        <v>68</v>
      </c>
      <c r="N126" s="695">
        <v>1000000</v>
      </c>
      <c r="O126" s="695"/>
      <c r="P126" s="696">
        <f t="shared" si="13"/>
        <v>85000000</v>
      </c>
      <c r="Q126" s="38"/>
      <c r="R126" s="695"/>
      <c r="S126" s="38"/>
      <c r="T126" s="696">
        <f t="shared" si="14"/>
        <v>17920000</v>
      </c>
    </row>
    <row r="127" spans="1:23" s="406" customFormat="1" x14ac:dyDescent="0.25">
      <c r="A127" s="702" t="s">
        <v>891</v>
      </c>
      <c r="B127" s="8">
        <v>2001</v>
      </c>
      <c r="C127" s="103" t="s">
        <v>736</v>
      </c>
      <c r="D127" s="528" t="s">
        <v>904</v>
      </c>
      <c r="E127" s="598"/>
      <c r="F127" s="598">
        <v>2000000</v>
      </c>
      <c r="G127" s="598"/>
      <c r="H127" s="598">
        <v>2000000</v>
      </c>
      <c r="I127" s="695">
        <f t="shared" si="9"/>
        <v>11400000</v>
      </c>
      <c r="J127" s="12"/>
      <c r="K127" s="12"/>
      <c r="L127" s="697" t="e">
        <f>#REF!+J127-K127</f>
        <v>#REF!</v>
      </c>
      <c r="M127" s="12" t="s">
        <v>70</v>
      </c>
      <c r="N127" s="598">
        <v>2000000</v>
      </c>
      <c r="O127" s="598"/>
      <c r="P127" s="696">
        <f t="shared" si="13"/>
        <v>87000000</v>
      </c>
      <c r="Q127" s="12"/>
      <c r="R127" s="598"/>
      <c r="S127" s="12"/>
      <c r="T127" s="697">
        <f t="shared" si="14"/>
        <v>17920000</v>
      </c>
      <c r="W127" s="553"/>
    </row>
    <row r="128" spans="1:23" x14ac:dyDescent="0.25">
      <c r="A128" s="702" t="s">
        <v>891</v>
      </c>
      <c r="B128" s="103">
        <v>2001</v>
      </c>
      <c r="C128" s="103" t="s">
        <v>737</v>
      </c>
      <c r="D128" s="528" t="s">
        <v>904</v>
      </c>
      <c r="E128" s="695"/>
      <c r="F128" s="695">
        <v>1000000</v>
      </c>
      <c r="G128" s="695"/>
      <c r="H128" s="695">
        <v>1000000</v>
      </c>
      <c r="I128" s="695">
        <f t="shared" si="9"/>
        <v>10400000</v>
      </c>
      <c r="J128" s="38"/>
      <c r="K128" s="38"/>
      <c r="L128" s="696" t="e">
        <f>#REF!+J128-K128</f>
        <v>#REF!</v>
      </c>
      <c r="M128" s="12" t="s">
        <v>49</v>
      </c>
      <c r="N128" s="695">
        <v>1000000</v>
      </c>
      <c r="O128" s="695"/>
      <c r="P128" s="696">
        <f t="shared" si="13"/>
        <v>88000000</v>
      </c>
      <c r="Q128" s="38"/>
      <c r="R128" s="695"/>
      <c r="S128" s="38"/>
      <c r="T128" s="696">
        <f t="shared" si="14"/>
        <v>17920000</v>
      </c>
    </row>
    <row r="129" spans="1:20" x14ac:dyDescent="0.25">
      <c r="A129" s="702" t="s">
        <v>891</v>
      </c>
      <c r="B129" s="103">
        <v>2001</v>
      </c>
      <c r="C129" s="103" t="s">
        <v>735</v>
      </c>
      <c r="D129" s="528" t="s">
        <v>904</v>
      </c>
      <c r="E129" s="695"/>
      <c r="F129" s="695">
        <v>1000000</v>
      </c>
      <c r="G129" s="695"/>
      <c r="H129" s="695">
        <v>1000000</v>
      </c>
      <c r="I129" s="695">
        <f t="shared" si="9"/>
        <v>9400000</v>
      </c>
      <c r="J129" s="38"/>
      <c r="K129" s="38"/>
      <c r="L129" s="696" t="e">
        <f>#REF!+J129-K129</f>
        <v>#REF!</v>
      </c>
      <c r="M129" s="12" t="s">
        <v>152</v>
      </c>
      <c r="N129" s="695">
        <v>1000000</v>
      </c>
      <c r="O129" s="695"/>
      <c r="P129" s="696">
        <f t="shared" si="13"/>
        <v>89000000</v>
      </c>
      <c r="Q129" s="38"/>
      <c r="R129" s="695"/>
      <c r="S129" s="38"/>
      <c r="T129" s="696">
        <f t="shared" si="14"/>
        <v>17920000</v>
      </c>
    </row>
    <row r="130" spans="1:20" x14ac:dyDescent="0.25">
      <c r="A130" s="702" t="s">
        <v>891</v>
      </c>
      <c r="B130" s="38">
        <v>4101</v>
      </c>
      <c r="C130" s="103" t="s">
        <v>683</v>
      </c>
      <c r="D130" s="528" t="s">
        <v>684</v>
      </c>
      <c r="E130" s="695">
        <v>90000</v>
      </c>
      <c r="F130" s="695"/>
      <c r="G130" s="695">
        <v>90000</v>
      </c>
      <c r="H130" s="695"/>
      <c r="I130" s="695">
        <f t="shared" si="9"/>
        <v>9490000</v>
      </c>
      <c r="J130" s="38"/>
      <c r="K130" s="38"/>
      <c r="L130" s="696"/>
      <c r="M130" s="12"/>
      <c r="N130" s="695"/>
      <c r="O130" s="695"/>
      <c r="P130" s="696">
        <f t="shared" si="13"/>
        <v>89000000</v>
      </c>
      <c r="Q130" s="38"/>
      <c r="R130" s="695"/>
      <c r="S130" s="38"/>
      <c r="T130" s="696">
        <f t="shared" si="14"/>
        <v>17920000</v>
      </c>
    </row>
    <row r="131" spans="1:20" x14ac:dyDescent="0.25">
      <c r="A131" s="702" t="s">
        <v>891</v>
      </c>
      <c r="B131" s="38">
        <v>4101</v>
      </c>
      <c r="C131" s="103" t="s">
        <v>682</v>
      </c>
      <c r="D131" s="528" t="s">
        <v>684</v>
      </c>
      <c r="E131" s="695">
        <v>90000</v>
      </c>
      <c r="F131" s="695"/>
      <c r="G131" s="695">
        <v>90000</v>
      </c>
      <c r="H131" s="695"/>
      <c r="I131" s="695">
        <f t="shared" si="9"/>
        <v>9580000</v>
      </c>
      <c r="J131" s="38"/>
      <c r="K131" s="38"/>
      <c r="L131" s="696"/>
      <c r="M131" s="12"/>
      <c r="N131" s="695"/>
      <c r="O131" s="695"/>
      <c r="P131" s="696">
        <f t="shared" si="13"/>
        <v>89000000</v>
      </c>
      <c r="Q131" s="38"/>
      <c r="R131" s="695"/>
      <c r="S131" s="38"/>
      <c r="T131" s="696">
        <f t="shared" si="14"/>
        <v>17920000</v>
      </c>
    </row>
    <row r="132" spans="1:20" x14ac:dyDescent="0.25">
      <c r="A132" s="702" t="s">
        <v>891</v>
      </c>
      <c r="B132" s="38">
        <v>4101</v>
      </c>
      <c r="C132" s="103" t="s">
        <v>687</v>
      </c>
      <c r="D132" s="528" t="s">
        <v>684</v>
      </c>
      <c r="E132" s="695">
        <v>90000</v>
      </c>
      <c r="F132" s="695"/>
      <c r="G132" s="695">
        <v>90000</v>
      </c>
      <c r="H132" s="695"/>
      <c r="I132" s="695">
        <f t="shared" si="9"/>
        <v>9670000</v>
      </c>
      <c r="J132" s="38"/>
      <c r="K132" s="38"/>
      <c r="L132" s="696"/>
      <c r="M132" s="12"/>
      <c r="N132" s="695"/>
      <c r="O132" s="695"/>
      <c r="P132" s="696">
        <f t="shared" si="13"/>
        <v>89000000</v>
      </c>
      <c r="Q132" s="38"/>
      <c r="R132" s="695"/>
      <c r="S132" s="38"/>
      <c r="T132" s="696">
        <f t="shared" si="14"/>
        <v>17920000</v>
      </c>
    </row>
    <row r="133" spans="1:20" x14ac:dyDescent="0.25">
      <c r="A133" s="702" t="s">
        <v>891</v>
      </c>
      <c r="B133" s="38">
        <v>4101</v>
      </c>
      <c r="C133" s="103" t="s">
        <v>734</v>
      </c>
      <c r="D133" s="528" t="s">
        <v>684</v>
      </c>
      <c r="E133" s="695">
        <v>90000</v>
      </c>
      <c r="F133" s="695"/>
      <c r="G133" s="695">
        <v>90000</v>
      </c>
      <c r="H133" s="695"/>
      <c r="I133" s="695">
        <f t="shared" si="9"/>
        <v>9760000</v>
      </c>
      <c r="J133" s="38"/>
      <c r="K133" s="38"/>
      <c r="L133" s="696"/>
      <c r="M133" s="12"/>
      <c r="N133" s="695"/>
      <c r="O133" s="695"/>
      <c r="P133" s="696">
        <f t="shared" si="13"/>
        <v>89000000</v>
      </c>
      <c r="Q133" s="38"/>
      <c r="R133" s="695"/>
      <c r="S133" s="38"/>
      <c r="T133" s="696">
        <f t="shared" si="14"/>
        <v>17920000</v>
      </c>
    </row>
    <row r="134" spans="1:20" x14ac:dyDescent="0.25">
      <c r="A134" s="702" t="s">
        <v>891</v>
      </c>
      <c r="B134" s="38">
        <v>4101</v>
      </c>
      <c r="C134" s="103" t="s">
        <v>736</v>
      </c>
      <c r="D134" s="528" t="s">
        <v>684</v>
      </c>
      <c r="E134" s="695">
        <v>180000</v>
      </c>
      <c r="F134" s="695"/>
      <c r="G134" s="695">
        <v>180000</v>
      </c>
      <c r="H134" s="695"/>
      <c r="I134" s="695">
        <f t="shared" si="9"/>
        <v>9940000</v>
      </c>
      <c r="J134" s="38"/>
      <c r="K134" s="38"/>
      <c r="L134" s="696"/>
      <c r="M134" s="12"/>
      <c r="N134" s="695"/>
      <c r="O134" s="695"/>
      <c r="P134" s="696">
        <f t="shared" si="13"/>
        <v>89000000</v>
      </c>
      <c r="Q134" s="38"/>
      <c r="R134" s="695"/>
      <c r="S134" s="38"/>
      <c r="T134" s="696">
        <f t="shared" si="14"/>
        <v>17920000</v>
      </c>
    </row>
    <row r="135" spans="1:20" x14ac:dyDescent="0.25">
      <c r="A135" s="702" t="s">
        <v>891</v>
      </c>
      <c r="B135" s="38">
        <v>4101</v>
      </c>
      <c r="C135" s="103" t="s">
        <v>737</v>
      </c>
      <c r="D135" s="528" t="s">
        <v>684</v>
      </c>
      <c r="E135" s="695">
        <v>90000</v>
      </c>
      <c r="F135" s="695"/>
      <c r="G135" s="695">
        <v>90000</v>
      </c>
      <c r="H135" s="695"/>
      <c r="I135" s="695">
        <f t="shared" si="9"/>
        <v>10030000</v>
      </c>
      <c r="J135" s="38"/>
      <c r="K135" s="38"/>
      <c r="L135" s="696"/>
      <c r="M135" s="12"/>
      <c r="N135" s="695"/>
      <c r="O135" s="695"/>
      <c r="P135" s="696">
        <f t="shared" si="13"/>
        <v>89000000</v>
      </c>
      <c r="Q135" s="38"/>
      <c r="R135" s="695"/>
      <c r="S135" s="38"/>
      <c r="T135" s="696">
        <f t="shared" si="14"/>
        <v>17920000</v>
      </c>
    </row>
    <row r="136" spans="1:20" x14ac:dyDescent="0.25">
      <c r="A136" s="702" t="s">
        <v>891</v>
      </c>
      <c r="B136" s="38">
        <v>4101</v>
      </c>
      <c r="C136" s="103" t="s">
        <v>735</v>
      </c>
      <c r="D136" s="528" t="s">
        <v>684</v>
      </c>
      <c r="E136" s="695">
        <v>90000</v>
      </c>
      <c r="F136" s="695"/>
      <c r="G136" s="695">
        <v>90000</v>
      </c>
      <c r="H136" s="695"/>
      <c r="I136" s="695">
        <f t="shared" si="9"/>
        <v>10120000</v>
      </c>
      <c r="J136" s="38"/>
      <c r="K136" s="38"/>
      <c r="L136" s="696"/>
      <c r="M136" s="12"/>
      <c r="N136" s="695"/>
      <c r="O136" s="695"/>
      <c r="P136" s="696">
        <f t="shared" si="13"/>
        <v>89000000</v>
      </c>
      <c r="Q136" s="38"/>
      <c r="R136" s="695"/>
      <c r="S136" s="38"/>
      <c r="T136" s="696">
        <f t="shared" si="14"/>
        <v>17920000</v>
      </c>
    </row>
    <row r="137" spans="1:20" x14ac:dyDescent="0.25">
      <c r="A137" s="702" t="s">
        <v>891</v>
      </c>
      <c r="B137" s="38">
        <v>4101</v>
      </c>
      <c r="C137" s="826" t="s">
        <v>738</v>
      </c>
      <c r="D137" s="528" t="s">
        <v>684</v>
      </c>
      <c r="E137" s="695">
        <v>90000</v>
      </c>
      <c r="F137" s="695"/>
      <c r="G137" s="695">
        <v>90000</v>
      </c>
      <c r="H137" s="695"/>
      <c r="I137" s="695">
        <f t="shared" si="9"/>
        <v>10210000</v>
      </c>
      <c r="J137" s="38"/>
      <c r="K137" s="38"/>
      <c r="L137" s="696"/>
      <c r="M137" s="12"/>
      <c r="N137" s="695"/>
      <c r="O137" s="695"/>
      <c r="P137" s="696">
        <f t="shared" si="13"/>
        <v>89000000</v>
      </c>
      <c r="Q137" s="38"/>
      <c r="R137" s="695"/>
      <c r="S137" s="38"/>
      <c r="T137" s="696">
        <f t="shared" si="14"/>
        <v>17920000</v>
      </c>
    </row>
    <row r="138" spans="1:20" x14ac:dyDescent="0.25">
      <c r="A138" s="702" t="s">
        <v>891</v>
      </c>
      <c r="B138" s="38">
        <v>4103</v>
      </c>
      <c r="C138" s="103" t="s">
        <v>714</v>
      </c>
      <c r="D138" s="528" t="s">
        <v>684</v>
      </c>
      <c r="E138" s="695">
        <v>600000</v>
      </c>
      <c r="F138" s="695"/>
      <c r="G138" s="695">
        <v>600000</v>
      </c>
      <c r="H138" s="695"/>
      <c r="I138" s="695">
        <f t="shared" si="9"/>
        <v>10810000</v>
      </c>
      <c r="J138" s="38"/>
      <c r="K138" s="38"/>
      <c r="L138" s="696"/>
      <c r="M138" s="12"/>
      <c r="N138" s="695"/>
      <c r="O138" s="695"/>
      <c r="P138" s="696">
        <f t="shared" si="13"/>
        <v>89000000</v>
      </c>
      <c r="Q138" s="38"/>
      <c r="R138" s="695"/>
      <c r="S138" s="38"/>
      <c r="T138" s="696">
        <f t="shared" si="14"/>
        <v>17920000</v>
      </c>
    </row>
    <row r="139" spans="1:20" x14ac:dyDescent="0.25">
      <c r="A139" s="702" t="s">
        <v>891</v>
      </c>
      <c r="B139" s="698" t="s">
        <v>203</v>
      </c>
      <c r="C139" s="103" t="s">
        <v>683</v>
      </c>
      <c r="D139" s="528" t="s">
        <v>209</v>
      </c>
      <c r="E139" s="695">
        <v>30000</v>
      </c>
      <c r="F139" s="695"/>
      <c r="G139" s="695">
        <v>30000</v>
      </c>
      <c r="H139" s="695"/>
      <c r="I139" s="695">
        <f t="shared" si="9"/>
        <v>10840000</v>
      </c>
      <c r="J139" s="38"/>
      <c r="K139" s="38"/>
      <c r="L139" s="696"/>
      <c r="M139" s="12"/>
      <c r="N139" s="695"/>
      <c r="O139" s="12"/>
      <c r="P139" s="696">
        <f t="shared" si="13"/>
        <v>89000000</v>
      </c>
      <c r="Q139" s="12" t="s">
        <v>394</v>
      </c>
      <c r="R139" s="695">
        <v>30000</v>
      </c>
      <c r="S139" s="38"/>
      <c r="T139" s="696">
        <f t="shared" si="14"/>
        <v>17950000</v>
      </c>
    </row>
    <row r="140" spans="1:20" x14ac:dyDescent="0.25">
      <c r="A140" s="702" t="s">
        <v>891</v>
      </c>
      <c r="B140" s="698" t="s">
        <v>203</v>
      </c>
      <c r="C140" s="103" t="s">
        <v>682</v>
      </c>
      <c r="D140" s="528" t="s">
        <v>209</v>
      </c>
      <c r="E140" s="695">
        <v>30000</v>
      </c>
      <c r="F140" s="695"/>
      <c r="G140" s="695">
        <v>30000</v>
      </c>
      <c r="H140" s="695"/>
      <c r="I140" s="695">
        <f t="shared" si="9"/>
        <v>10870000</v>
      </c>
      <c r="J140" s="38"/>
      <c r="K140" s="38"/>
      <c r="L140" s="696"/>
      <c r="M140" s="12"/>
      <c r="N140" s="695"/>
      <c r="O140" s="12"/>
      <c r="P140" s="696">
        <f t="shared" si="13"/>
        <v>89000000</v>
      </c>
      <c r="Q140" s="12" t="s">
        <v>336</v>
      </c>
      <c r="R140" s="695">
        <v>30000</v>
      </c>
      <c r="S140" s="38"/>
      <c r="T140" s="696">
        <f t="shared" si="14"/>
        <v>17980000</v>
      </c>
    </row>
    <row r="141" spans="1:20" x14ac:dyDescent="0.25">
      <c r="A141" s="702" t="s">
        <v>891</v>
      </c>
      <c r="B141" s="698" t="s">
        <v>203</v>
      </c>
      <c r="C141" s="103" t="s">
        <v>687</v>
      </c>
      <c r="D141" s="528" t="s">
        <v>209</v>
      </c>
      <c r="E141" s="695">
        <v>30000</v>
      </c>
      <c r="F141" s="695"/>
      <c r="G141" s="695">
        <v>30000</v>
      </c>
      <c r="H141" s="695"/>
      <c r="I141" s="695">
        <f t="shared" si="9"/>
        <v>10900000</v>
      </c>
      <c r="J141" s="38"/>
      <c r="K141" s="38"/>
      <c r="L141" s="696"/>
      <c r="M141" s="12"/>
      <c r="N141" s="695"/>
      <c r="O141" s="12"/>
      <c r="P141" s="696">
        <f t="shared" si="13"/>
        <v>89000000</v>
      </c>
      <c r="Q141" s="12" t="s">
        <v>345</v>
      </c>
      <c r="R141" s="695">
        <v>30000</v>
      </c>
      <c r="S141" s="38"/>
      <c r="T141" s="696">
        <f t="shared" si="14"/>
        <v>18010000</v>
      </c>
    </row>
    <row r="142" spans="1:20" x14ac:dyDescent="0.25">
      <c r="A142" s="702" t="s">
        <v>891</v>
      </c>
      <c r="B142" s="698" t="s">
        <v>203</v>
      </c>
      <c r="C142" s="103" t="s">
        <v>734</v>
      </c>
      <c r="D142" s="528" t="s">
        <v>209</v>
      </c>
      <c r="E142" s="695">
        <v>30000</v>
      </c>
      <c r="F142" s="695"/>
      <c r="G142" s="695">
        <v>30000</v>
      </c>
      <c r="H142" s="695"/>
      <c r="I142" s="695">
        <f t="shared" si="9"/>
        <v>10930000</v>
      </c>
      <c r="J142" s="38"/>
      <c r="K142" s="38"/>
      <c r="L142" s="696"/>
      <c r="M142" s="12"/>
      <c r="N142" s="695"/>
      <c r="O142" s="12"/>
      <c r="P142" s="696">
        <f t="shared" si="13"/>
        <v>89000000</v>
      </c>
      <c r="Q142" s="12" t="s">
        <v>320</v>
      </c>
      <c r="R142" s="695">
        <v>60000</v>
      </c>
      <c r="S142" s="38"/>
      <c r="T142" s="696">
        <f t="shared" si="14"/>
        <v>18070000</v>
      </c>
    </row>
    <row r="143" spans="1:20" x14ac:dyDescent="0.25">
      <c r="A143" s="702" t="s">
        <v>891</v>
      </c>
      <c r="B143" s="698" t="s">
        <v>203</v>
      </c>
      <c r="C143" s="103" t="s">
        <v>736</v>
      </c>
      <c r="D143" s="528" t="s">
        <v>209</v>
      </c>
      <c r="E143" s="695">
        <v>60000</v>
      </c>
      <c r="F143" s="695"/>
      <c r="G143" s="695">
        <v>60000</v>
      </c>
      <c r="H143" s="695"/>
      <c r="I143" s="695">
        <f t="shared" si="9"/>
        <v>10990000</v>
      </c>
      <c r="J143" s="38"/>
      <c r="K143" s="38"/>
      <c r="L143" s="696"/>
      <c r="M143" s="12"/>
      <c r="N143" s="695"/>
      <c r="O143" s="12"/>
      <c r="P143" s="696">
        <f t="shared" si="13"/>
        <v>89000000</v>
      </c>
      <c r="Q143" s="12" t="s">
        <v>392</v>
      </c>
      <c r="R143" s="695">
        <v>60000</v>
      </c>
      <c r="S143" s="38"/>
      <c r="T143" s="696">
        <f t="shared" si="14"/>
        <v>18130000</v>
      </c>
    </row>
    <row r="144" spans="1:20" x14ac:dyDescent="0.25">
      <c r="A144" s="702" t="s">
        <v>891</v>
      </c>
      <c r="B144" s="698" t="s">
        <v>203</v>
      </c>
      <c r="C144" s="103" t="s">
        <v>737</v>
      </c>
      <c r="D144" s="528" t="s">
        <v>209</v>
      </c>
      <c r="E144" s="695">
        <v>30000</v>
      </c>
      <c r="F144" s="695"/>
      <c r="G144" s="695">
        <v>30000</v>
      </c>
      <c r="H144" s="695"/>
      <c r="I144" s="695">
        <f t="shared" si="9"/>
        <v>11020000</v>
      </c>
      <c r="J144" s="38"/>
      <c r="K144" s="38"/>
      <c r="L144" s="696"/>
      <c r="M144" s="12"/>
      <c r="N144" s="695"/>
      <c r="O144" s="38"/>
      <c r="P144" s="696">
        <f t="shared" si="13"/>
        <v>89000000</v>
      </c>
      <c r="Q144" s="12" t="s">
        <v>338</v>
      </c>
      <c r="R144" s="695">
        <v>30000</v>
      </c>
      <c r="S144" s="38"/>
      <c r="T144" s="696">
        <f t="shared" si="14"/>
        <v>18160000</v>
      </c>
    </row>
    <row r="145" spans="1:23" x14ac:dyDescent="0.25">
      <c r="A145" s="702" t="s">
        <v>891</v>
      </c>
      <c r="B145" s="698" t="s">
        <v>203</v>
      </c>
      <c r="C145" s="103" t="s">
        <v>735</v>
      </c>
      <c r="D145" s="528" t="s">
        <v>209</v>
      </c>
      <c r="E145" s="695">
        <v>30000</v>
      </c>
      <c r="F145" s="695"/>
      <c r="G145" s="695">
        <v>30000</v>
      </c>
      <c r="H145" s="695"/>
      <c r="I145" s="695">
        <f t="shared" si="9"/>
        <v>11050000</v>
      </c>
      <c r="J145" s="38"/>
      <c r="K145" s="38"/>
      <c r="L145" s="696"/>
      <c r="M145" s="12"/>
      <c r="N145" s="695"/>
      <c r="O145" s="12"/>
      <c r="P145" s="696">
        <f t="shared" si="13"/>
        <v>89000000</v>
      </c>
      <c r="Q145" s="12" t="s">
        <v>308</v>
      </c>
      <c r="R145" s="695">
        <v>30000</v>
      </c>
      <c r="S145" s="38"/>
      <c r="T145" s="696">
        <f t="shared" si="14"/>
        <v>18190000</v>
      </c>
    </row>
    <row r="146" spans="1:23" x14ac:dyDescent="0.25">
      <c r="A146" s="702" t="s">
        <v>891</v>
      </c>
      <c r="B146" s="698" t="s">
        <v>203</v>
      </c>
      <c r="C146" s="826" t="s">
        <v>738</v>
      </c>
      <c r="D146" s="528" t="s">
        <v>209</v>
      </c>
      <c r="E146" s="695">
        <v>30000</v>
      </c>
      <c r="F146" s="695"/>
      <c r="G146" s="695">
        <v>30000</v>
      </c>
      <c r="H146" s="695"/>
      <c r="I146" s="695">
        <f t="shared" si="9"/>
        <v>11080000</v>
      </c>
      <c r="J146" s="38"/>
      <c r="K146" s="38"/>
      <c r="L146" s="696"/>
      <c r="M146" s="12"/>
      <c r="N146" s="695"/>
      <c r="O146" s="12"/>
      <c r="P146" s="696">
        <f t="shared" si="13"/>
        <v>89000000</v>
      </c>
      <c r="Q146" s="12" t="s">
        <v>321</v>
      </c>
      <c r="R146" s="695">
        <v>30000</v>
      </c>
      <c r="S146" s="38"/>
      <c r="T146" s="696">
        <f t="shared" si="14"/>
        <v>18220000</v>
      </c>
    </row>
    <row r="147" spans="1:23" x14ac:dyDescent="0.25">
      <c r="A147" s="702" t="s">
        <v>891</v>
      </c>
      <c r="B147" s="38">
        <v>4102</v>
      </c>
      <c r="C147" s="103" t="s">
        <v>683</v>
      </c>
      <c r="D147" s="528" t="s">
        <v>204</v>
      </c>
      <c r="E147" s="416">
        <v>20000</v>
      </c>
      <c r="F147" s="695"/>
      <c r="G147" s="416">
        <v>20000</v>
      </c>
      <c r="H147" s="695"/>
      <c r="I147" s="695">
        <f t="shared" si="9"/>
        <v>11100000</v>
      </c>
      <c r="J147" s="38"/>
      <c r="K147" s="38"/>
      <c r="L147" s="696"/>
      <c r="M147" s="12"/>
      <c r="N147" s="695"/>
      <c r="O147" s="12"/>
      <c r="P147" s="696">
        <f t="shared" si="13"/>
        <v>89000000</v>
      </c>
      <c r="Q147" s="12" t="s">
        <v>388</v>
      </c>
      <c r="R147" s="695">
        <v>30000</v>
      </c>
      <c r="S147" s="38"/>
      <c r="T147" s="696">
        <f t="shared" si="14"/>
        <v>18250000</v>
      </c>
    </row>
    <row r="148" spans="1:23" x14ac:dyDescent="0.25">
      <c r="A148" s="702" t="s">
        <v>891</v>
      </c>
      <c r="B148" s="38">
        <v>4102</v>
      </c>
      <c r="C148" s="103" t="s">
        <v>682</v>
      </c>
      <c r="D148" s="528" t="s">
        <v>204</v>
      </c>
      <c r="E148" s="416">
        <v>20000</v>
      </c>
      <c r="F148" s="695"/>
      <c r="G148" s="416">
        <v>20000</v>
      </c>
      <c r="H148" s="695"/>
      <c r="I148" s="695">
        <f t="shared" si="9"/>
        <v>11120000</v>
      </c>
      <c r="J148" s="38"/>
      <c r="K148" s="38"/>
      <c r="L148" s="696"/>
      <c r="M148" s="12"/>
      <c r="N148" s="695"/>
      <c r="O148" s="695"/>
      <c r="P148" s="696">
        <f t="shared" si="13"/>
        <v>89000000</v>
      </c>
      <c r="Q148" s="38"/>
      <c r="R148" s="695"/>
      <c r="S148" s="38"/>
      <c r="T148" s="696">
        <f t="shared" si="14"/>
        <v>18250000</v>
      </c>
    </row>
    <row r="149" spans="1:23" x14ac:dyDescent="0.25">
      <c r="A149" s="702" t="s">
        <v>891</v>
      </c>
      <c r="B149" s="38">
        <v>4102</v>
      </c>
      <c r="C149" s="103" t="s">
        <v>687</v>
      </c>
      <c r="D149" s="528" t="s">
        <v>204</v>
      </c>
      <c r="E149" s="416">
        <v>20000</v>
      </c>
      <c r="F149" s="695"/>
      <c r="G149" s="416">
        <v>20000</v>
      </c>
      <c r="H149" s="695"/>
      <c r="I149" s="695">
        <f t="shared" si="9"/>
        <v>11140000</v>
      </c>
      <c r="J149" s="38"/>
      <c r="K149" s="38"/>
      <c r="L149" s="696"/>
      <c r="M149" s="12"/>
      <c r="N149" s="695"/>
      <c r="O149" s="695"/>
      <c r="P149" s="696">
        <f t="shared" si="13"/>
        <v>89000000</v>
      </c>
      <c r="Q149" s="38"/>
      <c r="R149" s="695"/>
      <c r="S149" s="38"/>
      <c r="T149" s="696">
        <f t="shared" si="14"/>
        <v>18250000</v>
      </c>
    </row>
    <row r="150" spans="1:23" x14ac:dyDescent="0.25">
      <c r="A150" s="702" t="s">
        <v>891</v>
      </c>
      <c r="B150" s="38">
        <v>4102</v>
      </c>
      <c r="C150" s="103" t="s">
        <v>734</v>
      </c>
      <c r="D150" s="528" t="s">
        <v>204</v>
      </c>
      <c r="E150" s="416">
        <v>20000</v>
      </c>
      <c r="F150" s="695"/>
      <c r="G150" s="416">
        <v>20000</v>
      </c>
      <c r="H150" s="695"/>
      <c r="I150" s="695">
        <f t="shared" si="9"/>
        <v>11160000</v>
      </c>
      <c r="J150" s="38"/>
      <c r="K150" s="38"/>
      <c r="L150" s="696"/>
      <c r="M150" s="12"/>
      <c r="N150" s="695"/>
      <c r="O150" s="695"/>
      <c r="P150" s="696">
        <f t="shared" si="13"/>
        <v>89000000</v>
      </c>
      <c r="Q150" s="38"/>
      <c r="R150" s="695"/>
      <c r="S150" s="38"/>
      <c r="T150" s="696">
        <f t="shared" si="14"/>
        <v>18250000</v>
      </c>
    </row>
    <row r="151" spans="1:23" x14ac:dyDescent="0.25">
      <c r="A151" s="702" t="s">
        <v>891</v>
      </c>
      <c r="B151" s="38">
        <v>4102</v>
      </c>
      <c r="C151" s="103" t="s">
        <v>736</v>
      </c>
      <c r="D151" s="528" t="s">
        <v>204</v>
      </c>
      <c r="E151" s="416">
        <v>40000</v>
      </c>
      <c r="F151" s="695"/>
      <c r="G151" s="416">
        <v>40000</v>
      </c>
      <c r="H151" s="695"/>
      <c r="I151" s="695">
        <f t="shared" si="9"/>
        <v>11200000</v>
      </c>
      <c r="J151" s="38"/>
      <c r="K151" s="38"/>
      <c r="L151" s="696"/>
      <c r="M151" s="12"/>
      <c r="N151" s="695"/>
      <c r="O151" s="695"/>
      <c r="P151" s="696">
        <f t="shared" si="13"/>
        <v>89000000</v>
      </c>
      <c r="Q151" s="38"/>
      <c r="R151" s="695"/>
      <c r="S151" s="38"/>
      <c r="T151" s="696">
        <f t="shared" si="14"/>
        <v>18250000</v>
      </c>
    </row>
    <row r="152" spans="1:23" x14ac:dyDescent="0.25">
      <c r="A152" s="702" t="s">
        <v>891</v>
      </c>
      <c r="B152" s="38">
        <v>4102</v>
      </c>
      <c r="C152" s="103" t="s">
        <v>737</v>
      </c>
      <c r="D152" s="528" t="s">
        <v>204</v>
      </c>
      <c r="E152" s="416">
        <v>20000</v>
      </c>
      <c r="F152" s="695"/>
      <c r="G152" s="416">
        <v>20000</v>
      </c>
      <c r="H152" s="695"/>
      <c r="I152" s="695">
        <f t="shared" si="9"/>
        <v>11220000</v>
      </c>
      <c r="J152" s="38"/>
      <c r="K152" s="38"/>
      <c r="L152" s="696"/>
      <c r="M152" s="12"/>
      <c r="N152" s="695"/>
      <c r="O152" s="695"/>
      <c r="P152" s="696">
        <f t="shared" si="13"/>
        <v>89000000</v>
      </c>
      <c r="Q152" s="38"/>
      <c r="R152" s="695"/>
      <c r="S152" s="38"/>
      <c r="T152" s="696">
        <f t="shared" si="14"/>
        <v>18250000</v>
      </c>
    </row>
    <row r="153" spans="1:23" x14ac:dyDescent="0.25">
      <c r="A153" s="702" t="s">
        <v>891</v>
      </c>
      <c r="B153" s="38">
        <v>4102</v>
      </c>
      <c r="C153" s="103" t="s">
        <v>735</v>
      </c>
      <c r="D153" s="528" t="s">
        <v>204</v>
      </c>
      <c r="E153" s="416">
        <v>20000</v>
      </c>
      <c r="F153" s="695"/>
      <c r="G153" s="416">
        <v>20000</v>
      </c>
      <c r="H153" s="695"/>
      <c r="I153" s="695">
        <f t="shared" si="9"/>
        <v>11240000</v>
      </c>
      <c r="J153" s="38"/>
      <c r="K153" s="38"/>
      <c r="L153" s="696"/>
      <c r="M153" s="12"/>
      <c r="N153" s="695"/>
      <c r="O153" s="695"/>
      <c r="P153" s="696">
        <f t="shared" si="13"/>
        <v>89000000</v>
      </c>
      <c r="Q153" s="38"/>
      <c r="R153" s="695"/>
      <c r="S153" s="38"/>
      <c r="T153" s="696">
        <f t="shared" si="14"/>
        <v>18250000</v>
      </c>
    </row>
    <row r="154" spans="1:23" x14ac:dyDescent="0.25">
      <c r="A154" s="702" t="s">
        <v>891</v>
      </c>
      <c r="B154" s="38">
        <v>4102</v>
      </c>
      <c r="C154" s="826"/>
      <c r="D154" s="528" t="s">
        <v>204</v>
      </c>
      <c r="E154" s="416">
        <v>20000</v>
      </c>
      <c r="F154" s="695"/>
      <c r="G154" s="416">
        <v>20000</v>
      </c>
      <c r="H154" s="695"/>
      <c r="I154" s="695">
        <f t="shared" si="9"/>
        <v>11260000</v>
      </c>
      <c r="J154" s="38"/>
      <c r="K154" s="38"/>
      <c r="L154" s="696"/>
      <c r="M154" s="12"/>
      <c r="N154" s="695"/>
      <c r="O154" s="695"/>
      <c r="P154" s="696">
        <f t="shared" si="13"/>
        <v>89000000</v>
      </c>
      <c r="Q154" s="38"/>
      <c r="R154" s="695"/>
      <c r="S154" s="38"/>
      <c r="T154" s="696">
        <f t="shared" si="14"/>
        <v>18250000</v>
      </c>
    </row>
    <row r="155" spans="1:23" s="262" customFormat="1" x14ac:dyDescent="0.25">
      <c r="A155" s="704"/>
      <c r="B155" s="46" t="s">
        <v>202</v>
      </c>
      <c r="C155" s="8" t="s">
        <v>738</v>
      </c>
      <c r="D155" s="8" t="s">
        <v>905</v>
      </c>
      <c r="E155" s="416"/>
      <c r="F155" s="598">
        <v>50000</v>
      </c>
      <c r="G155" s="598"/>
      <c r="H155" s="598">
        <v>50000</v>
      </c>
      <c r="I155" s="695">
        <f t="shared" si="9"/>
        <v>11210000</v>
      </c>
      <c r="J155" s="12"/>
      <c r="K155" s="12"/>
      <c r="L155" s="697"/>
      <c r="M155" s="12"/>
      <c r="N155" s="598"/>
      <c r="O155" s="598"/>
      <c r="P155" s="696">
        <f t="shared" si="13"/>
        <v>89000000</v>
      </c>
      <c r="Q155" s="10" t="s">
        <v>248</v>
      </c>
      <c r="R155" s="598"/>
      <c r="S155" s="598">
        <v>50000</v>
      </c>
      <c r="T155" s="696">
        <f t="shared" si="14"/>
        <v>18200000</v>
      </c>
      <c r="W155" s="251"/>
    </row>
    <row r="156" spans="1:23" s="262" customFormat="1" x14ac:dyDescent="0.25">
      <c r="A156" s="704"/>
      <c r="B156" s="46" t="s">
        <v>203</v>
      </c>
      <c r="C156" s="8" t="s">
        <v>738</v>
      </c>
      <c r="D156" s="8" t="s">
        <v>906</v>
      </c>
      <c r="E156" s="416"/>
      <c r="F156" s="598">
        <v>330000</v>
      </c>
      <c r="G156" s="416"/>
      <c r="H156" s="598">
        <v>330000</v>
      </c>
      <c r="I156" s="695">
        <f t="shared" si="9"/>
        <v>10880000</v>
      </c>
      <c r="J156" s="12"/>
      <c r="K156" s="12"/>
      <c r="L156" s="697"/>
      <c r="M156" s="12"/>
      <c r="N156" s="598"/>
      <c r="O156" s="598"/>
      <c r="P156" s="696">
        <f t="shared" si="13"/>
        <v>89000000</v>
      </c>
      <c r="Q156" s="10" t="s">
        <v>304</v>
      </c>
      <c r="R156" s="598"/>
      <c r="S156" s="598">
        <v>330000</v>
      </c>
      <c r="T156" s="696">
        <f t="shared" si="14"/>
        <v>17870000</v>
      </c>
      <c r="W156" s="251"/>
    </row>
    <row r="157" spans="1:23" s="262" customFormat="1" x14ac:dyDescent="0.25">
      <c r="A157" s="704" t="s">
        <v>681</v>
      </c>
      <c r="B157" s="8">
        <v>6000</v>
      </c>
      <c r="C157" s="8" t="s">
        <v>744</v>
      </c>
      <c r="D157" s="699" t="s">
        <v>662</v>
      </c>
      <c r="E157" s="416"/>
      <c r="F157" s="598">
        <v>10880000</v>
      </c>
      <c r="G157" s="598"/>
      <c r="H157" s="598">
        <v>10880000</v>
      </c>
      <c r="I157" s="695">
        <f t="shared" si="9"/>
        <v>0</v>
      </c>
      <c r="J157" s="12"/>
      <c r="K157" s="12"/>
      <c r="L157" s="697" t="e">
        <f>#REF!+J157-K157</f>
        <v>#REF!</v>
      </c>
      <c r="M157" s="12"/>
      <c r="N157" s="598"/>
      <c r="O157" s="598"/>
      <c r="P157" s="697">
        <f t="shared" ref="P157" si="15">P156+N157-O157</f>
        <v>89000000</v>
      </c>
      <c r="Q157" s="12"/>
      <c r="R157" s="598"/>
      <c r="S157" s="598"/>
      <c r="T157" s="696">
        <f t="shared" si="14"/>
        <v>17870000</v>
      </c>
      <c r="W157" s="251"/>
    </row>
    <row r="158" spans="1:23" s="262" customFormat="1" x14ac:dyDescent="0.25">
      <c r="A158" s="704"/>
      <c r="B158" s="8"/>
      <c r="C158" s="8"/>
      <c r="D158" s="699"/>
      <c r="E158" s="416"/>
      <c r="F158" s="700"/>
      <c r="G158" s="416"/>
      <c r="H158" s="700"/>
      <c r="I158" s="695">
        <f t="shared" si="9"/>
        <v>0</v>
      </c>
      <c r="J158" s="12"/>
      <c r="K158" s="12"/>
      <c r="L158" s="697" t="e">
        <f t="shared" ref="L158" si="16">L157+J158-K158</f>
        <v>#REF!</v>
      </c>
      <c r="M158" s="12"/>
      <c r="N158" s="598"/>
      <c r="O158" s="598"/>
      <c r="P158" s="697">
        <f t="shared" ref="P158" si="17">P157+N158-O158</f>
        <v>89000000</v>
      </c>
      <c r="Q158" s="12"/>
      <c r="R158" s="598"/>
      <c r="S158" s="705"/>
      <c r="T158" s="697">
        <f t="shared" ref="T158" si="18">T157+R158-S158</f>
        <v>17870000</v>
      </c>
      <c r="W158" s="251"/>
    </row>
    <row r="159" spans="1:23" x14ac:dyDescent="0.25">
      <c r="A159" s="86"/>
      <c r="B159" s="87"/>
      <c r="C159" s="87"/>
      <c r="D159" s="88" t="s">
        <v>63</v>
      </c>
      <c r="E159" s="90">
        <f>SUM(E115:E158)</f>
        <v>10860000</v>
      </c>
      <c r="F159" s="90">
        <f>SUM(F115:F158)</f>
        <v>19260000</v>
      </c>
      <c r="G159" s="90">
        <f>SUM(G115:G158)</f>
        <v>10860000</v>
      </c>
      <c r="H159" s="90">
        <f>SUM(H115:H158)</f>
        <v>19260000</v>
      </c>
      <c r="I159" s="90"/>
      <c r="J159" s="90">
        <f>SUM(J117:J158)</f>
        <v>0</v>
      </c>
      <c r="K159" s="90">
        <f>SUM(K117:K158)</f>
        <v>0</v>
      </c>
      <c r="L159" s="90"/>
      <c r="M159" s="90">
        <f>SUM(M155:M158)</f>
        <v>0</v>
      </c>
      <c r="N159" s="90">
        <f>SUM(N115:N158)</f>
        <v>8000000</v>
      </c>
      <c r="O159" s="90">
        <f>SUM(O115:O158)</f>
        <v>9000000</v>
      </c>
      <c r="P159" s="90"/>
      <c r="Q159" s="90"/>
      <c r="R159" s="90">
        <f t="shared" ref="R159:S159" si="19">SUM(R115:R158)</f>
        <v>330000</v>
      </c>
      <c r="S159" s="90">
        <f t="shared" si="19"/>
        <v>380000</v>
      </c>
      <c r="T159" s="90"/>
    </row>
    <row r="160" spans="1:23" x14ac:dyDescent="0.25">
      <c r="A160" s="86"/>
      <c r="B160" s="87"/>
      <c r="C160" s="87"/>
      <c r="D160" s="88" t="s">
        <v>64</v>
      </c>
      <c r="E160" s="89">
        <f>E159+E114</f>
        <v>19260000</v>
      </c>
      <c r="F160" s="89">
        <f>F159+F114</f>
        <v>19260000</v>
      </c>
      <c r="G160" s="89">
        <f>G159+G114</f>
        <v>19260000</v>
      </c>
      <c r="H160" s="89">
        <f>H159+H114</f>
        <v>19260000</v>
      </c>
      <c r="I160" s="90"/>
      <c r="J160" s="89">
        <f>J159+J114</f>
        <v>0</v>
      </c>
      <c r="K160" s="89">
        <f>K159+K114</f>
        <v>0</v>
      </c>
      <c r="L160" s="90"/>
      <c r="M160" s="90" t="e">
        <f>#REF!+M159</f>
        <v>#REF!</v>
      </c>
      <c r="N160" s="89">
        <f>N159+N114</f>
        <v>98000000</v>
      </c>
      <c r="O160" s="89">
        <f>O159+O114</f>
        <v>9000000</v>
      </c>
      <c r="P160" s="90"/>
      <c r="Q160" s="90"/>
      <c r="R160" s="89">
        <f>R159+R114</f>
        <v>18250000</v>
      </c>
      <c r="S160" s="89">
        <f>S159+S114</f>
        <v>380000</v>
      </c>
      <c r="T160" s="90"/>
    </row>
    <row r="161" spans="1:23" x14ac:dyDescent="0.25">
      <c r="A161" s="86"/>
      <c r="B161" s="87"/>
      <c r="C161" s="87"/>
      <c r="D161" s="88" t="s">
        <v>65</v>
      </c>
      <c r="E161" s="89">
        <f>E160-F160</f>
        <v>0</v>
      </c>
      <c r="F161" s="86"/>
      <c r="G161" s="89">
        <f>G160-H160</f>
        <v>0</v>
      </c>
      <c r="H161" s="86"/>
      <c r="I161" s="86"/>
      <c r="J161" s="89">
        <f>J160-K160</f>
        <v>0</v>
      </c>
      <c r="K161" s="86"/>
      <c r="L161" s="90"/>
      <c r="M161" s="86"/>
      <c r="N161" s="89">
        <f>N160-O160</f>
        <v>89000000</v>
      </c>
      <c r="O161" s="86"/>
      <c r="P161" s="86"/>
      <c r="Q161" s="86"/>
      <c r="R161" s="89">
        <f>R160-S160</f>
        <v>17870000</v>
      </c>
      <c r="S161" s="86"/>
      <c r="T161" s="86"/>
    </row>
    <row r="162" spans="1:23" x14ac:dyDescent="0.25">
      <c r="R162" s="342"/>
      <c r="S162" s="369"/>
    </row>
    <row r="163" spans="1:23" s="70" customFormat="1" hidden="1" x14ac:dyDescent="0.25">
      <c r="A163" s="885" t="s">
        <v>19</v>
      </c>
      <c r="B163" s="893" t="s">
        <v>9</v>
      </c>
      <c r="C163" s="91"/>
      <c r="D163" s="891" t="s">
        <v>20</v>
      </c>
      <c r="E163" s="888" t="s">
        <v>11</v>
      </c>
      <c r="F163" s="885" t="s">
        <v>12</v>
      </c>
      <c r="G163" s="885" t="s">
        <v>0</v>
      </c>
      <c r="H163" s="885"/>
      <c r="I163" s="885"/>
      <c r="J163" s="885" t="s">
        <v>1</v>
      </c>
      <c r="K163" s="885"/>
      <c r="L163" s="885"/>
      <c r="M163" s="92"/>
      <c r="N163" s="885" t="s">
        <v>6</v>
      </c>
      <c r="O163" s="885"/>
      <c r="P163" s="885"/>
      <c r="Q163" s="890" t="s">
        <v>9</v>
      </c>
      <c r="R163" s="885" t="s">
        <v>2</v>
      </c>
      <c r="S163" s="885"/>
      <c r="T163" s="885"/>
      <c r="W163" s="251"/>
    </row>
    <row r="164" spans="1:23" s="70" customFormat="1" hidden="1" x14ac:dyDescent="0.25">
      <c r="A164" s="898"/>
      <c r="B164" s="902"/>
      <c r="C164" s="93"/>
      <c r="D164" s="901"/>
      <c r="E164" s="889"/>
      <c r="F164" s="898"/>
      <c r="G164" s="94" t="s">
        <v>11</v>
      </c>
      <c r="H164" s="94" t="s">
        <v>12</v>
      </c>
      <c r="I164" s="94" t="s">
        <v>21</v>
      </c>
      <c r="J164" s="94" t="s">
        <v>11</v>
      </c>
      <c r="K164" s="94" t="s">
        <v>12</v>
      </c>
      <c r="L164" s="94" t="s">
        <v>21</v>
      </c>
      <c r="M164" s="94"/>
      <c r="N164" s="94" t="s">
        <v>11</v>
      </c>
      <c r="O164" s="94" t="s">
        <v>12</v>
      </c>
      <c r="P164" s="94" t="s">
        <v>21</v>
      </c>
      <c r="Q164" s="907"/>
      <c r="R164" s="94" t="s">
        <v>11</v>
      </c>
      <c r="S164" s="94" t="s">
        <v>12</v>
      </c>
      <c r="T164" s="94" t="s">
        <v>21</v>
      </c>
      <c r="W164" s="251"/>
    </row>
    <row r="165" spans="1:23" hidden="1" x14ac:dyDescent="0.25">
      <c r="A165" s="109"/>
      <c r="B165" s="95"/>
      <c r="C165" s="6"/>
      <c r="D165" s="96"/>
      <c r="E165" s="22"/>
      <c r="F165" s="97"/>
      <c r="G165" s="97"/>
      <c r="H165" s="97"/>
      <c r="I165" s="97"/>
      <c r="J165" s="97"/>
      <c r="K165" s="21"/>
      <c r="L165" s="97"/>
      <c r="M165" s="97"/>
      <c r="N165" s="97"/>
      <c r="O165" s="21"/>
      <c r="P165" s="97"/>
      <c r="Q165" s="97"/>
      <c r="R165" s="97"/>
      <c r="S165" s="21"/>
      <c r="T165" s="97"/>
    </row>
    <row r="166" spans="1:23" hidden="1" x14ac:dyDescent="0.25">
      <c r="A166" s="102"/>
      <c r="B166" s="103"/>
      <c r="C166" s="6"/>
      <c r="D166" s="104"/>
      <c r="E166" s="5"/>
      <c r="F166" s="99"/>
      <c r="G166" s="99"/>
      <c r="H166" s="99"/>
      <c r="I166" s="99"/>
      <c r="J166" s="4"/>
      <c r="K166" s="4"/>
      <c r="L166" s="99"/>
      <c r="M166" s="4"/>
      <c r="N166" s="99"/>
      <c r="O166" s="99"/>
      <c r="P166" s="99"/>
      <c r="Q166" s="4"/>
      <c r="R166" s="99"/>
      <c r="S166" s="4"/>
      <c r="T166" s="99"/>
    </row>
    <row r="167" spans="1:23" hidden="1" x14ac:dyDescent="0.25">
      <c r="A167" s="101"/>
      <c r="B167" s="6"/>
      <c r="C167" s="6"/>
      <c r="D167" s="104"/>
      <c r="E167" s="89"/>
      <c r="F167" s="99"/>
      <c r="G167" s="99"/>
      <c r="H167" s="99"/>
      <c r="I167" s="99"/>
      <c r="J167" s="4"/>
      <c r="K167" s="4"/>
      <c r="L167" s="99"/>
      <c r="M167" s="4"/>
      <c r="N167" s="99"/>
      <c r="O167" s="99"/>
      <c r="P167" s="99"/>
      <c r="Q167" s="4"/>
      <c r="R167" s="99"/>
      <c r="S167" s="4"/>
      <c r="T167" s="99"/>
    </row>
    <row r="168" spans="1:23" hidden="1" x14ac:dyDescent="0.25">
      <c r="A168" s="101"/>
      <c r="B168" s="6"/>
      <c r="C168" s="6"/>
      <c r="D168" s="104"/>
      <c r="E168" s="5"/>
      <c r="F168" s="99"/>
      <c r="G168" s="99"/>
      <c r="H168" s="99"/>
      <c r="I168" s="99"/>
      <c r="J168" s="99"/>
      <c r="K168" s="4"/>
      <c r="L168" s="99"/>
      <c r="M168" s="4"/>
      <c r="N168" s="99"/>
      <c r="O168" s="99"/>
      <c r="P168" s="99"/>
      <c r="Q168" s="4"/>
      <c r="R168" s="99"/>
      <c r="S168" s="4"/>
      <c r="T168" s="99"/>
    </row>
    <row r="169" spans="1:23" hidden="1" x14ac:dyDescent="0.25">
      <c r="A169" s="4"/>
      <c r="B169" s="103"/>
      <c r="C169" s="110"/>
      <c r="D169" s="104"/>
      <c r="E169" s="11"/>
      <c r="F169" s="80"/>
      <c r="G169" s="80"/>
      <c r="H169" s="80"/>
      <c r="I169" s="80"/>
      <c r="J169" s="80"/>
      <c r="K169" s="10"/>
      <c r="L169" s="99"/>
      <c r="M169" s="4"/>
      <c r="N169" s="80"/>
      <c r="O169" s="80"/>
      <c r="P169" s="99"/>
      <c r="Q169" s="4"/>
      <c r="R169" s="99"/>
      <c r="S169" s="4"/>
      <c r="T169" s="99"/>
    </row>
    <row r="170" spans="1:23" hidden="1" x14ac:dyDescent="0.25">
      <c r="A170" s="101"/>
      <c r="B170" s="103"/>
      <c r="C170" s="4"/>
      <c r="D170" s="104"/>
      <c r="E170" s="11"/>
      <c r="F170" s="80"/>
      <c r="G170" s="80"/>
      <c r="H170" s="80"/>
      <c r="I170" s="80"/>
      <c r="J170" s="10"/>
      <c r="K170" s="10"/>
      <c r="L170" s="99"/>
      <c r="M170" s="4"/>
      <c r="N170" s="80"/>
      <c r="O170" s="80"/>
      <c r="P170" s="99"/>
      <c r="Q170" s="4"/>
      <c r="R170" s="99"/>
      <c r="S170" s="4"/>
      <c r="T170" s="99"/>
    </row>
    <row r="171" spans="1:23" hidden="1" x14ac:dyDescent="0.25">
      <c r="A171" s="101"/>
      <c r="B171" s="103"/>
      <c r="C171" s="4"/>
      <c r="D171" s="104"/>
      <c r="E171" s="11"/>
      <c r="F171" s="80"/>
      <c r="G171" s="80"/>
      <c r="H171" s="80"/>
      <c r="I171" s="80"/>
      <c r="J171" s="10"/>
      <c r="K171" s="10"/>
      <c r="L171" s="99"/>
      <c r="M171" s="4"/>
      <c r="N171" s="80"/>
      <c r="O171" s="80"/>
      <c r="P171" s="99"/>
      <c r="Q171" s="4"/>
      <c r="R171" s="99"/>
      <c r="S171" s="4"/>
      <c r="T171" s="99"/>
    </row>
    <row r="172" spans="1:23" hidden="1" x14ac:dyDescent="0.25">
      <c r="A172" s="101"/>
      <c r="B172" s="103"/>
      <c r="C172" s="4"/>
      <c r="D172" s="104"/>
      <c r="E172" s="11"/>
      <c r="F172" s="80"/>
      <c r="G172" s="80"/>
      <c r="H172" s="80"/>
      <c r="I172" s="80"/>
      <c r="J172" s="10"/>
      <c r="K172" s="10"/>
      <c r="L172" s="99"/>
      <c r="M172" s="4"/>
      <c r="N172" s="80"/>
      <c r="O172" s="80"/>
      <c r="P172" s="99"/>
      <c r="Q172" s="4"/>
      <c r="R172" s="99"/>
      <c r="S172" s="4"/>
      <c r="T172" s="99"/>
    </row>
    <row r="173" spans="1:23" hidden="1" x14ac:dyDescent="0.25">
      <c r="A173" s="101"/>
      <c r="B173" s="103"/>
      <c r="C173" s="6"/>
      <c r="D173" s="104"/>
      <c r="E173" s="11"/>
      <c r="F173" s="80"/>
      <c r="G173" s="80"/>
      <c r="H173" s="80"/>
      <c r="I173" s="80"/>
      <c r="J173" s="10"/>
      <c r="K173" s="10"/>
      <c r="L173" s="99"/>
      <c r="M173" s="4"/>
      <c r="N173" s="80"/>
      <c r="O173" s="80"/>
      <c r="P173" s="99"/>
      <c r="Q173" s="4"/>
      <c r="R173" s="99"/>
      <c r="S173" s="4"/>
      <c r="T173" s="99"/>
    </row>
    <row r="174" spans="1:23" hidden="1" x14ac:dyDescent="0.25">
      <c r="A174" s="101"/>
      <c r="B174" s="103"/>
      <c r="C174" s="6"/>
      <c r="D174" s="104"/>
      <c r="E174" s="11"/>
      <c r="F174" s="80"/>
      <c r="G174" s="80"/>
      <c r="H174" s="80"/>
      <c r="I174" s="80"/>
      <c r="J174" s="10"/>
      <c r="K174" s="10"/>
      <c r="L174" s="99"/>
      <c r="M174" s="4"/>
      <c r="N174" s="80"/>
      <c r="O174" s="80"/>
      <c r="P174" s="99"/>
      <c r="Q174" s="4"/>
      <c r="R174" s="99"/>
      <c r="S174" s="4"/>
      <c r="T174" s="99"/>
    </row>
    <row r="175" spans="1:23" hidden="1" x14ac:dyDescent="0.25">
      <c r="A175" s="101"/>
      <c r="B175" s="103"/>
      <c r="C175" s="6"/>
      <c r="D175" s="104"/>
      <c r="E175" s="11"/>
      <c r="F175" s="80"/>
      <c r="G175" s="80"/>
      <c r="H175" s="80"/>
      <c r="I175" s="80"/>
      <c r="J175" s="10"/>
      <c r="K175" s="10"/>
      <c r="L175" s="99"/>
      <c r="M175" s="4"/>
      <c r="N175" s="80"/>
      <c r="O175" s="80"/>
      <c r="P175" s="99"/>
      <c r="Q175" s="4"/>
      <c r="R175" s="99"/>
      <c r="S175" s="4"/>
      <c r="T175" s="99"/>
    </row>
    <row r="176" spans="1:23" hidden="1" x14ac:dyDescent="0.25">
      <c r="A176" s="101"/>
      <c r="B176" s="103"/>
      <c r="C176" s="6"/>
      <c r="D176" s="104"/>
      <c r="E176" s="11"/>
      <c r="F176" s="80"/>
      <c r="G176" s="80"/>
      <c r="H176" s="80"/>
      <c r="I176" s="80"/>
      <c r="J176" s="10"/>
      <c r="K176" s="10"/>
      <c r="L176" s="99"/>
      <c r="M176" s="4"/>
      <c r="N176" s="80"/>
      <c r="O176" s="80"/>
      <c r="P176" s="99"/>
      <c r="Q176" s="4"/>
      <c r="R176" s="99"/>
      <c r="S176" s="4"/>
      <c r="T176" s="99"/>
    </row>
    <row r="177" spans="1:20" hidden="1" x14ac:dyDescent="0.25">
      <c r="A177" s="101"/>
      <c r="B177" s="103"/>
      <c r="C177" s="6"/>
      <c r="D177" s="104"/>
      <c r="E177" s="11"/>
      <c r="F177" s="80"/>
      <c r="G177" s="80"/>
      <c r="H177" s="80"/>
      <c r="I177" s="80"/>
      <c r="J177" s="10"/>
      <c r="K177" s="10"/>
      <c r="L177" s="99"/>
      <c r="M177" s="4"/>
      <c r="N177" s="80"/>
      <c r="O177" s="80"/>
      <c r="P177" s="99"/>
      <c r="Q177" s="4"/>
      <c r="R177" s="99"/>
      <c r="S177" s="4"/>
      <c r="T177" s="99"/>
    </row>
    <row r="178" spans="1:20" hidden="1" x14ac:dyDescent="0.25">
      <c r="A178" s="101"/>
      <c r="B178" s="103"/>
      <c r="C178" s="6"/>
      <c r="D178" s="104"/>
      <c r="E178" s="11"/>
      <c r="F178" s="80"/>
      <c r="G178" s="80"/>
      <c r="H178" s="80"/>
      <c r="I178" s="80"/>
      <c r="J178" s="10"/>
      <c r="K178" s="10"/>
      <c r="L178" s="99"/>
      <c r="M178" s="4"/>
      <c r="N178" s="80"/>
      <c r="O178" s="80"/>
      <c r="P178" s="99"/>
      <c r="Q178" s="4"/>
      <c r="R178" s="99"/>
      <c r="S178" s="4"/>
      <c r="T178" s="99"/>
    </row>
    <row r="179" spans="1:20" hidden="1" x14ac:dyDescent="0.25">
      <c r="A179" s="101"/>
      <c r="B179" s="103"/>
      <c r="C179" s="6"/>
      <c r="D179" s="104"/>
      <c r="E179" s="11"/>
      <c r="F179" s="80"/>
      <c r="G179" s="80"/>
      <c r="H179" s="80"/>
      <c r="I179" s="80"/>
      <c r="J179" s="10"/>
      <c r="K179" s="10"/>
      <c r="L179" s="99"/>
      <c r="M179" s="4"/>
      <c r="N179" s="80"/>
      <c r="O179" s="80"/>
      <c r="P179" s="99"/>
      <c r="Q179" s="4"/>
      <c r="R179" s="99"/>
      <c r="S179" s="4"/>
      <c r="T179" s="99"/>
    </row>
    <row r="180" spans="1:20" hidden="1" x14ac:dyDescent="0.25">
      <c r="A180" s="101"/>
      <c r="B180" s="103"/>
      <c r="C180" s="6"/>
      <c r="D180" s="104"/>
      <c r="E180" s="11"/>
      <c r="F180" s="80"/>
      <c r="G180" s="80"/>
      <c r="H180" s="80"/>
      <c r="I180" s="80"/>
      <c r="J180" s="10"/>
      <c r="K180" s="10"/>
      <c r="L180" s="99"/>
      <c r="M180" s="4"/>
      <c r="N180" s="80"/>
      <c r="O180" s="80"/>
      <c r="P180" s="99"/>
      <c r="Q180" s="4"/>
      <c r="R180" s="99"/>
      <c r="S180" s="4"/>
      <c r="T180" s="99"/>
    </row>
    <row r="181" spans="1:20" hidden="1" x14ac:dyDescent="0.25">
      <c r="A181" s="101"/>
      <c r="B181" s="103"/>
      <c r="C181" s="6"/>
      <c r="D181" s="104"/>
      <c r="E181" s="11"/>
      <c r="F181" s="80"/>
      <c r="G181" s="80"/>
      <c r="H181" s="80"/>
      <c r="I181" s="80"/>
      <c r="J181" s="10"/>
      <c r="K181" s="10"/>
      <c r="L181" s="99"/>
      <c r="M181" s="4"/>
      <c r="N181" s="80"/>
      <c r="O181" s="80"/>
      <c r="P181" s="99"/>
      <c r="Q181" s="4"/>
      <c r="R181" s="99"/>
      <c r="S181" s="4"/>
      <c r="T181" s="99"/>
    </row>
    <row r="182" spans="1:20" hidden="1" x14ac:dyDescent="0.25">
      <c r="A182" s="101"/>
      <c r="B182" s="103"/>
      <c r="C182" s="6"/>
      <c r="D182" s="104"/>
      <c r="E182" s="11"/>
      <c r="F182" s="80"/>
      <c r="G182" s="80"/>
      <c r="H182" s="80"/>
      <c r="I182" s="80"/>
      <c r="J182" s="10"/>
      <c r="K182" s="10"/>
      <c r="L182" s="99"/>
      <c r="M182" s="4"/>
      <c r="N182" s="80"/>
      <c r="O182" s="80"/>
      <c r="P182" s="99"/>
      <c r="Q182" s="1"/>
      <c r="R182" s="99"/>
      <c r="S182" s="4"/>
      <c r="T182" s="99"/>
    </row>
    <row r="183" spans="1:20" hidden="1" x14ac:dyDescent="0.25">
      <c r="A183" s="101"/>
      <c r="B183" s="103"/>
      <c r="C183" s="6"/>
      <c r="D183" s="104"/>
      <c r="E183" s="11"/>
      <c r="F183" s="80"/>
      <c r="G183" s="80"/>
      <c r="H183" s="80"/>
      <c r="I183" s="80"/>
      <c r="J183" s="10"/>
      <c r="K183" s="10"/>
      <c r="L183" s="99"/>
      <c r="M183" s="4"/>
      <c r="N183" s="80"/>
      <c r="O183" s="80"/>
      <c r="P183" s="99"/>
      <c r="Q183" s="4"/>
      <c r="R183" s="99"/>
      <c r="S183" s="4"/>
      <c r="T183" s="99"/>
    </row>
    <row r="184" spans="1:20" hidden="1" x14ac:dyDescent="0.25">
      <c r="A184" s="4"/>
      <c r="B184" s="103"/>
      <c r="C184" s="6"/>
      <c r="D184" s="104"/>
      <c r="E184" s="11"/>
      <c r="F184" s="80"/>
      <c r="G184" s="80"/>
      <c r="H184" s="80"/>
      <c r="I184" s="80"/>
      <c r="J184" s="10"/>
      <c r="K184" s="10"/>
      <c r="L184" s="99"/>
      <c r="M184" s="4"/>
      <c r="N184" s="80"/>
      <c r="O184" s="80"/>
      <c r="P184" s="99"/>
      <c r="Q184" s="4"/>
      <c r="R184" s="99"/>
      <c r="S184" s="4"/>
      <c r="T184" s="99"/>
    </row>
    <row r="185" spans="1:20" hidden="1" x14ac:dyDescent="0.25">
      <c r="A185" s="4"/>
      <c r="B185" s="103"/>
      <c r="C185" s="6"/>
      <c r="D185" s="104"/>
      <c r="E185" s="11"/>
      <c r="F185" s="80"/>
      <c r="G185" s="80"/>
      <c r="H185" s="80"/>
      <c r="I185" s="80"/>
      <c r="J185" s="10"/>
      <c r="K185" s="10"/>
      <c r="L185" s="99"/>
      <c r="M185" s="4"/>
      <c r="N185" s="80"/>
      <c r="O185" s="80"/>
      <c r="P185" s="99"/>
      <c r="Q185" s="4"/>
      <c r="R185" s="99"/>
      <c r="S185" s="4"/>
      <c r="T185" s="99"/>
    </row>
    <row r="186" spans="1:20" hidden="1" x14ac:dyDescent="0.25">
      <c r="A186" s="4"/>
      <c r="B186" s="103"/>
      <c r="C186" s="6"/>
      <c r="D186" s="104"/>
      <c r="E186" s="11"/>
      <c r="F186" s="80"/>
      <c r="G186" s="80"/>
      <c r="H186" s="80"/>
      <c r="I186" s="80"/>
      <c r="J186" s="10"/>
      <c r="K186" s="10"/>
      <c r="L186" s="99"/>
      <c r="M186" s="4"/>
      <c r="N186" s="80"/>
      <c r="O186" s="80"/>
      <c r="P186" s="99"/>
      <c r="Q186" s="4"/>
      <c r="R186" s="99"/>
      <c r="S186" s="4"/>
      <c r="T186" s="99"/>
    </row>
    <row r="187" spans="1:20" hidden="1" x14ac:dyDescent="0.25">
      <c r="A187" s="4"/>
      <c r="B187" s="103"/>
      <c r="C187" s="6"/>
      <c r="D187" s="104"/>
      <c r="E187" s="11"/>
      <c r="F187" s="80"/>
      <c r="G187" s="80"/>
      <c r="H187" s="80"/>
      <c r="I187" s="80"/>
      <c r="J187" s="10"/>
      <c r="K187" s="10"/>
      <c r="L187" s="99"/>
      <c r="M187" s="4"/>
      <c r="N187" s="80"/>
      <c r="O187" s="80"/>
      <c r="P187" s="99"/>
      <c r="Q187" s="4"/>
      <c r="R187" s="99"/>
      <c r="S187" s="4"/>
      <c r="T187" s="99"/>
    </row>
    <row r="188" spans="1:20" hidden="1" x14ac:dyDescent="0.25">
      <c r="A188" s="4"/>
      <c r="B188" s="103"/>
      <c r="C188" s="6"/>
      <c r="D188" s="104"/>
      <c r="E188" s="11"/>
      <c r="F188" s="80"/>
      <c r="G188" s="80"/>
      <c r="H188" s="80"/>
      <c r="I188" s="80"/>
      <c r="J188" s="10"/>
      <c r="K188" s="10"/>
      <c r="L188" s="99"/>
      <c r="M188" s="4"/>
      <c r="N188" s="80"/>
      <c r="O188" s="80"/>
      <c r="P188" s="99"/>
      <c r="Q188" s="4"/>
      <c r="R188" s="99"/>
      <c r="S188" s="4"/>
      <c r="T188" s="99"/>
    </row>
    <row r="189" spans="1:20" hidden="1" x14ac:dyDescent="0.25">
      <c r="A189" s="4"/>
      <c r="B189" s="103"/>
      <c r="C189" s="6"/>
      <c r="D189" s="104"/>
      <c r="E189" s="11"/>
      <c r="F189" s="80"/>
      <c r="G189" s="80"/>
      <c r="H189" s="80"/>
      <c r="I189" s="80"/>
      <c r="J189" s="10"/>
      <c r="K189" s="10"/>
      <c r="L189" s="99"/>
      <c r="M189" s="4"/>
      <c r="N189" s="80"/>
      <c r="O189" s="80"/>
      <c r="P189" s="99"/>
      <c r="Q189" s="4"/>
      <c r="R189" s="99"/>
      <c r="S189" s="4"/>
      <c r="T189" s="99"/>
    </row>
    <row r="190" spans="1:20" hidden="1" x14ac:dyDescent="0.25">
      <c r="A190" s="4"/>
      <c r="B190" s="103"/>
      <c r="C190" s="6"/>
      <c r="D190" s="104"/>
      <c r="E190" s="11"/>
      <c r="F190" s="80"/>
      <c r="G190" s="80"/>
      <c r="H190" s="80"/>
      <c r="I190" s="80"/>
      <c r="J190" s="10"/>
      <c r="K190" s="10"/>
      <c r="L190" s="99"/>
      <c r="M190" s="4"/>
      <c r="N190" s="80"/>
      <c r="O190" s="80"/>
      <c r="P190" s="99"/>
      <c r="Q190" s="4"/>
      <c r="R190" s="99"/>
      <c r="S190" s="4"/>
      <c r="T190" s="99"/>
    </row>
    <row r="191" spans="1:20" hidden="1" x14ac:dyDescent="0.25">
      <c r="A191" s="4"/>
      <c r="B191" s="103"/>
      <c r="C191" s="6"/>
      <c r="D191" s="104"/>
      <c r="E191" s="11"/>
      <c r="F191" s="80"/>
      <c r="G191" s="80"/>
      <c r="H191" s="80"/>
      <c r="I191" s="80"/>
      <c r="J191" s="10"/>
      <c r="K191" s="10"/>
      <c r="L191" s="99"/>
      <c r="M191" s="4"/>
      <c r="N191" s="80"/>
      <c r="O191" s="80"/>
      <c r="P191" s="99"/>
      <c r="Q191" s="4"/>
      <c r="R191" s="99"/>
      <c r="S191" s="4"/>
      <c r="T191" s="99"/>
    </row>
    <row r="192" spans="1:20" hidden="1" x14ac:dyDescent="0.25">
      <c r="A192" s="4"/>
      <c r="B192" s="103"/>
      <c r="C192" s="6"/>
      <c r="D192" s="104"/>
      <c r="E192" s="11"/>
      <c r="F192" s="80"/>
      <c r="G192" s="80"/>
      <c r="H192" s="80"/>
      <c r="I192" s="80"/>
      <c r="J192" s="10"/>
      <c r="K192" s="10"/>
      <c r="L192" s="99"/>
      <c r="M192" s="4"/>
      <c r="N192" s="80"/>
      <c r="O192" s="80"/>
      <c r="P192" s="99"/>
      <c r="Q192" s="4"/>
      <c r="R192" s="99"/>
      <c r="S192" s="4"/>
      <c r="T192" s="99"/>
    </row>
    <row r="193" spans="1:20" hidden="1" x14ac:dyDescent="0.25">
      <c r="A193" s="4"/>
      <c r="B193" s="103"/>
      <c r="C193" s="6"/>
      <c r="D193" s="104"/>
      <c r="E193" s="11"/>
      <c r="F193" s="80"/>
      <c r="G193" s="80"/>
      <c r="H193" s="80"/>
      <c r="I193" s="80"/>
      <c r="J193" s="10"/>
      <c r="K193" s="10"/>
      <c r="L193" s="99"/>
      <c r="M193" s="4"/>
      <c r="N193" s="80"/>
      <c r="O193" s="80"/>
      <c r="P193" s="99"/>
      <c r="Q193" s="4"/>
      <c r="R193" s="99"/>
      <c r="S193" s="4"/>
      <c r="T193" s="99"/>
    </row>
    <row r="194" spans="1:20" hidden="1" x14ac:dyDescent="0.25">
      <c r="A194" s="4"/>
      <c r="B194" s="103"/>
      <c r="C194" s="6"/>
      <c r="D194" s="104"/>
      <c r="E194" s="11"/>
      <c r="F194" s="80"/>
      <c r="G194" s="80"/>
      <c r="H194" s="80"/>
      <c r="I194" s="80"/>
      <c r="J194" s="10"/>
      <c r="K194" s="10"/>
      <c r="L194" s="99"/>
      <c r="M194" s="4"/>
      <c r="N194" s="80"/>
      <c r="O194" s="80"/>
      <c r="P194" s="99"/>
      <c r="Q194" s="4"/>
      <c r="R194" s="99"/>
      <c r="S194" s="4"/>
      <c r="T194" s="99"/>
    </row>
    <row r="195" spans="1:20" hidden="1" x14ac:dyDescent="0.25">
      <c r="A195" s="4"/>
      <c r="B195" s="103"/>
      <c r="C195" s="6"/>
      <c r="D195" s="104"/>
      <c r="E195" s="11"/>
      <c r="F195" s="80"/>
      <c r="G195" s="80"/>
      <c r="H195" s="80"/>
      <c r="I195" s="80"/>
      <c r="J195" s="10"/>
      <c r="K195" s="10"/>
      <c r="L195" s="99"/>
      <c r="M195" s="4"/>
      <c r="N195" s="80"/>
      <c r="O195" s="80"/>
      <c r="P195" s="99"/>
      <c r="Q195" s="4"/>
      <c r="R195" s="99"/>
      <c r="S195" s="4"/>
      <c r="T195" s="99"/>
    </row>
    <row r="196" spans="1:20" hidden="1" x14ac:dyDescent="0.25">
      <c r="A196" s="4"/>
      <c r="B196" s="103"/>
      <c r="C196" s="6"/>
      <c r="D196" s="104"/>
      <c r="E196" s="11"/>
      <c r="F196" s="80"/>
      <c r="G196" s="80"/>
      <c r="H196" s="80"/>
      <c r="I196" s="80"/>
      <c r="J196" s="10"/>
      <c r="K196" s="10"/>
      <c r="L196" s="99"/>
      <c r="M196" s="4"/>
      <c r="N196" s="80"/>
      <c r="O196" s="80"/>
      <c r="P196" s="99"/>
      <c r="Q196" s="4"/>
      <c r="R196" s="99"/>
      <c r="S196" s="4"/>
      <c r="T196" s="99"/>
    </row>
    <row r="197" spans="1:20" hidden="1" x14ac:dyDescent="0.25">
      <c r="A197" s="4"/>
      <c r="B197" s="103"/>
      <c r="C197" s="6"/>
      <c r="D197" s="104"/>
      <c r="E197" s="11"/>
      <c r="F197" s="80"/>
      <c r="G197" s="80"/>
      <c r="H197" s="80"/>
      <c r="I197" s="80"/>
      <c r="J197" s="10"/>
      <c r="K197" s="10"/>
      <c r="L197" s="99"/>
      <c r="M197" s="4"/>
      <c r="N197" s="80"/>
      <c r="O197" s="80"/>
      <c r="P197" s="99"/>
      <c r="Q197" s="4"/>
      <c r="R197" s="99"/>
      <c r="S197" s="4"/>
      <c r="T197" s="99"/>
    </row>
    <row r="198" spans="1:20" hidden="1" x14ac:dyDescent="0.25">
      <c r="A198" s="4"/>
      <c r="B198" s="103"/>
      <c r="C198" s="6"/>
      <c r="D198" s="104"/>
      <c r="E198" s="11"/>
      <c r="F198" s="80"/>
      <c r="G198" s="80"/>
      <c r="H198" s="80"/>
      <c r="I198" s="80"/>
      <c r="J198" s="10"/>
      <c r="K198" s="10"/>
      <c r="L198" s="99"/>
      <c r="M198" s="4"/>
      <c r="N198" s="80"/>
      <c r="O198" s="80"/>
      <c r="P198" s="99"/>
      <c r="Q198" s="4"/>
      <c r="R198" s="99"/>
      <c r="S198" s="4"/>
      <c r="T198" s="99"/>
    </row>
    <row r="199" spans="1:20" hidden="1" x14ac:dyDescent="0.25">
      <c r="A199" s="4"/>
      <c r="B199" s="103"/>
      <c r="C199" s="6"/>
      <c r="D199" s="104"/>
      <c r="E199" s="11"/>
      <c r="F199" s="80"/>
      <c r="G199" s="80"/>
      <c r="H199" s="80"/>
      <c r="I199" s="80"/>
      <c r="J199" s="10"/>
      <c r="K199" s="10"/>
      <c r="L199" s="99"/>
      <c r="M199" s="4"/>
      <c r="N199" s="80"/>
      <c r="O199" s="80"/>
      <c r="P199" s="99"/>
      <c r="Q199" s="4"/>
      <c r="R199" s="99"/>
      <c r="S199" s="4"/>
      <c r="T199" s="99"/>
    </row>
    <row r="200" spans="1:20" hidden="1" x14ac:dyDescent="0.25">
      <c r="A200" s="4"/>
      <c r="B200" s="103"/>
      <c r="C200" s="6"/>
      <c r="D200" s="104"/>
      <c r="E200" s="11"/>
      <c r="F200" s="80"/>
      <c r="G200" s="80"/>
      <c r="H200" s="80"/>
      <c r="I200" s="80"/>
      <c r="J200" s="10"/>
      <c r="K200" s="10"/>
      <c r="L200" s="99"/>
      <c r="M200" s="4"/>
      <c r="N200" s="80"/>
      <c r="O200" s="80"/>
      <c r="P200" s="99"/>
      <c r="Q200" s="4"/>
      <c r="R200" s="99"/>
      <c r="S200" s="4"/>
      <c r="T200" s="99"/>
    </row>
    <row r="201" spans="1:20" hidden="1" x14ac:dyDescent="0.25">
      <c r="A201" s="4"/>
      <c r="B201" s="103"/>
      <c r="C201" s="6"/>
      <c r="D201" s="104"/>
      <c r="E201" s="11"/>
      <c r="F201" s="80"/>
      <c r="G201" s="80"/>
      <c r="H201" s="80"/>
      <c r="I201" s="80"/>
      <c r="J201" s="10"/>
      <c r="K201" s="10"/>
      <c r="L201" s="99"/>
      <c r="M201" s="4"/>
      <c r="N201" s="80"/>
      <c r="O201" s="80"/>
      <c r="P201" s="99"/>
      <c r="Q201" s="4"/>
      <c r="R201" s="99"/>
      <c r="S201" s="4"/>
      <c r="T201" s="99"/>
    </row>
    <row r="202" spans="1:20" hidden="1" x14ac:dyDescent="0.25">
      <c r="A202" s="101"/>
      <c r="B202" s="103"/>
      <c r="C202" s="6"/>
      <c r="D202" s="104"/>
      <c r="E202" s="11"/>
      <c r="F202" s="80"/>
      <c r="G202" s="80"/>
      <c r="H202" s="80"/>
      <c r="I202" s="80"/>
      <c r="J202" s="10"/>
      <c r="K202" s="10"/>
      <c r="L202" s="99"/>
      <c r="M202" s="4"/>
      <c r="N202" s="80"/>
      <c r="O202" s="80"/>
      <c r="P202" s="99"/>
      <c r="Q202" s="4"/>
      <c r="R202" s="99"/>
      <c r="S202" s="4"/>
      <c r="T202" s="99"/>
    </row>
    <row r="203" spans="1:20" hidden="1" x14ac:dyDescent="0.25">
      <c r="A203" s="101"/>
      <c r="B203" s="103"/>
      <c r="C203" s="6"/>
      <c r="D203" s="104"/>
      <c r="E203" s="11"/>
      <c r="F203" s="80"/>
      <c r="G203" s="80"/>
      <c r="H203" s="80"/>
      <c r="I203" s="80"/>
      <c r="J203" s="10"/>
      <c r="K203" s="10"/>
      <c r="L203" s="99"/>
      <c r="M203" s="4"/>
      <c r="N203" s="80"/>
      <c r="O203" s="80"/>
      <c r="P203" s="99"/>
      <c r="Q203" s="1"/>
      <c r="R203" s="99"/>
      <c r="S203" s="4"/>
      <c r="T203" s="99"/>
    </row>
    <row r="204" spans="1:20" hidden="1" x14ac:dyDescent="0.25">
      <c r="A204" s="101"/>
      <c r="B204" s="103"/>
      <c r="C204" s="6"/>
      <c r="D204" s="104"/>
      <c r="E204" s="11"/>
      <c r="F204" s="80"/>
      <c r="G204" s="80"/>
      <c r="H204" s="80"/>
      <c r="I204" s="80"/>
      <c r="J204" s="10"/>
      <c r="K204" s="10"/>
      <c r="L204" s="99"/>
      <c r="M204" s="4"/>
      <c r="N204" s="80"/>
      <c r="O204" s="80"/>
      <c r="P204" s="99"/>
      <c r="Q204" s="4"/>
      <c r="R204" s="99"/>
      <c r="S204" s="4"/>
      <c r="T204" s="99"/>
    </row>
    <row r="205" spans="1:20" hidden="1" x14ac:dyDescent="0.25">
      <c r="A205" s="4"/>
      <c r="B205" s="103"/>
      <c r="C205" s="6"/>
      <c r="D205" s="104"/>
      <c r="E205" s="11"/>
      <c r="F205" s="80"/>
      <c r="G205" s="80"/>
      <c r="H205" s="80"/>
      <c r="I205" s="80"/>
      <c r="J205" s="10"/>
      <c r="K205" s="10"/>
      <c r="L205" s="99"/>
      <c r="M205" s="4"/>
      <c r="N205" s="80"/>
      <c r="O205" s="80"/>
      <c r="P205" s="99"/>
      <c r="Q205" s="4"/>
      <c r="R205" s="99"/>
      <c r="S205" s="4"/>
      <c r="T205" s="99"/>
    </row>
    <row r="206" spans="1:20" hidden="1" x14ac:dyDescent="0.25">
      <c r="A206" s="4"/>
      <c r="B206" s="103"/>
      <c r="C206" s="6"/>
      <c r="D206" s="104"/>
      <c r="E206" s="11"/>
      <c r="F206" s="80"/>
      <c r="G206" s="80"/>
      <c r="H206" s="80"/>
      <c r="I206" s="80"/>
      <c r="J206" s="10"/>
      <c r="K206" s="10"/>
      <c r="L206" s="99"/>
      <c r="M206" s="4"/>
      <c r="N206" s="80"/>
      <c r="O206" s="80"/>
      <c r="P206" s="99"/>
      <c r="Q206" s="4"/>
      <c r="R206" s="99"/>
      <c r="S206" s="4"/>
      <c r="T206" s="99"/>
    </row>
    <row r="207" spans="1:20" hidden="1" x14ac:dyDescent="0.25">
      <c r="A207" s="4"/>
      <c r="B207" s="103"/>
      <c r="C207" s="6"/>
      <c r="D207" s="104"/>
      <c r="E207" s="11"/>
      <c r="F207" s="80"/>
      <c r="G207" s="80"/>
      <c r="H207" s="80"/>
      <c r="I207" s="80"/>
      <c r="J207" s="10"/>
      <c r="K207" s="10"/>
      <c r="L207" s="99"/>
      <c r="M207" s="4"/>
      <c r="N207" s="80"/>
      <c r="O207" s="80"/>
      <c r="P207" s="99"/>
      <c r="Q207" s="4"/>
      <c r="R207" s="99"/>
      <c r="S207" s="4"/>
      <c r="T207" s="99"/>
    </row>
    <row r="208" spans="1:20" hidden="1" x14ac:dyDescent="0.25">
      <c r="A208" s="101"/>
      <c r="B208" s="6"/>
      <c r="C208" s="6"/>
      <c r="D208" s="104"/>
      <c r="E208" s="11"/>
      <c r="F208" s="80"/>
      <c r="G208" s="11"/>
      <c r="H208" s="80"/>
      <c r="I208" s="80"/>
      <c r="J208" s="10"/>
      <c r="K208" s="10"/>
      <c r="L208" s="80"/>
      <c r="M208" s="4"/>
      <c r="N208" s="80"/>
      <c r="O208" s="80"/>
      <c r="P208" s="80"/>
      <c r="Q208" s="5"/>
      <c r="R208" s="99"/>
      <c r="S208" s="4"/>
      <c r="T208" s="80"/>
    </row>
    <row r="209" spans="1:20" hidden="1" x14ac:dyDescent="0.25">
      <c r="A209" s="101"/>
      <c r="B209" s="6"/>
      <c r="C209" s="6"/>
      <c r="D209" s="104"/>
      <c r="E209" s="11"/>
      <c r="F209" s="80"/>
      <c r="G209" s="11"/>
      <c r="H209" s="80"/>
      <c r="I209" s="80"/>
      <c r="J209" s="10"/>
      <c r="K209" s="10"/>
      <c r="L209" s="99"/>
      <c r="M209" s="4"/>
      <c r="N209" s="80"/>
      <c r="O209" s="80"/>
      <c r="P209" s="99"/>
      <c r="Q209" s="5"/>
      <c r="R209" s="99"/>
      <c r="S209" s="4"/>
      <c r="T209" s="99"/>
    </row>
    <row r="210" spans="1:20" hidden="1" x14ac:dyDescent="0.25">
      <c r="A210" s="101"/>
      <c r="B210" s="6"/>
      <c r="C210" s="6"/>
      <c r="D210" s="104"/>
      <c r="E210" s="11"/>
      <c r="F210" s="80"/>
      <c r="G210" s="11"/>
      <c r="H210" s="80"/>
      <c r="I210" s="80"/>
      <c r="J210" s="10"/>
      <c r="K210" s="10"/>
      <c r="L210" s="99"/>
      <c r="M210" s="4"/>
      <c r="N210" s="80"/>
      <c r="O210" s="80"/>
      <c r="P210" s="99"/>
      <c r="Q210" s="5"/>
      <c r="R210" s="99"/>
      <c r="S210" s="4"/>
      <c r="T210" s="99"/>
    </row>
    <row r="211" spans="1:20" hidden="1" x14ac:dyDescent="0.25">
      <c r="A211" s="101"/>
      <c r="B211" s="6"/>
      <c r="C211" s="6"/>
      <c r="D211" s="104"/>
      <c r="E211" s="11"/>
      <c r="F211" s="80"/>
      <c r="G211" s="11"/>
      <c r="H211" s="80"/>
      <c r="I211" s="80"/>
      <c r="J211" s="10"/>
      <c r="K211" s="10"/>
      <c r="L211" s="99"/>
      <c r="M211" s="4"/>
      <c r="N211" s="80"/>
      <c r="O211" s="80"/>
      <c r="P211" s="99"/>
      <c r="Q211" s="5"/>
      <c r="R211" s="99"/>
      <c r="S211" s="4"/>
      <c r="T211" s="99"/>
    </row>
    <row r="212" spans="1:20" hidden="1" x14ac:dyDescent="0.25">
      <c r="A212" s="101"/>
      <c r="B212" s="6"/>
      <c r="C212" s="6"/>
      <c r="D212" s="104"/>
      <c r="E212" s="11"/>
      <c r="F212" s="80"/>
      <c r="G212" s="11"/>
      <c r="H212" s="80"/>
      <c r="I212" s="80"/>
      <c r="J212" s="10"/>
      <c r="K212" s="10"/>
      <c r="L212" s="99"/>
      <c r="M212" s="4"/>
      <c r="N212" s="80"/>
      <c r="O212" s="80"/>
      <c r="P212" s="99"/>
      <c r="Q212" s="4"/>
      <c r="R212" s="99"/>
      <c r="S212" s="4"/>
      <c r="T212" s="99"/>
    </row>
    <row r="213" spans="1:20" hidden="1" x14ac:dyDescent="0.25">
      <c r="A213" s="4"/>
      <c r="B213" s="6"/>
      <c r="C213" s="6"/>
      <c r="D213" s="104"/>
      <c r="E213" s="11"/>
      <c r="F213" s="80"/>
      <c r="G213" s="11"/>
      <c r="H213" s="80"/>
      <c r="I213" s="80"/>
      <c r="J213" s="10"/>
      <c r="K213" s="10"/>
      <c r="L213" s="99"/>
      <c r="M213" s="4"/>
      <c r="N213" s="80"/>
      <c r="O213" s="80"/>
      <c r="P213" s="99"/>
      <c r="Q213" s="4"/>
      <c r="R213" s="99"/>
      <c r="S213" s="4"/>
      <c r="T213" s="99"/>
    </row>
    <row r="214" spans="1:20" hidden="1" x14ac:dyDescent="0.25">
      <c r="A214" s="111"/>
      <c r="B214" s="6"/>
      <c r="C214" s="6"/>
      <c r="D214" s="104"/>
      <c r="E214" s="11"/>
      <c r="F214" s="80"/>
      <c r="G214" s="11"/>
      <c r="H214" s="80"/>
      <c r="I214" s="80"/>
      <c r="J214" s="10"/>
      <c r="K214" s="10"/>
      <c r="L214" s="99"/>
      <c r="M214" s="4"/>
      <c r="N214" s="80"/>
      <c r="O214" s="80"/>
      <c r="P214" s="99"/>
      <c r="Q214" s="4"/>
      <c r="R214" s="99"/>
      <c r="S214" s="4"/>
      <c r="T214" s="99"/>
    </row>
    <row r="215" spans="1:20" hidden="1" x14ac:dyDescent="0.25">
      <c r="A215" s="4"/>
      <c r="B215" s="6"/>
      <c r="C215" s="6"/>
      <c r="D215" s="104"/>
      <c r="E215" s="11"/>
      <c r="F215" s="10"/>
      <c r="G215" s="11"/>
      <c r="H215" s="10"/>
      <c r="I215" s="80"/>
      <c r="J215" s="10"/>
      <c r="K215" s="10"/>
      <c r="L215" s="99"/>
      <c r="M215" s="10"/>
      <c r="N215" s="10"/>
      <c r="O215" s="80"/>
      <c r="P215" s="99"/>
      <c r="Q215" s="4"/>
      <c r="R215" s="4"/>
      <c r="S215" s="4"/>
      <c r="T215" s="99"/>
    </row>
    <row r="216" spans="1:20" hidden="1" x14ac:dyDescent="0.25">
      <c r="A216" s="4"/>
      <c r="B216" s="6"/>
      <c r="C216" s="6"/>
      <c r="D216" s="104"/>
      <c r="E216" s="11"/>
      <c r="F216" s="10"/>
      <c r="G216" s="11"/>
      <c r="H216" s="10"/>
      <c r="I216" s="80"/>
      <c r="J216" s="10"/>
      <c r="K216" s="10"/>
      <c r="L216" s="99"/>
      <c r="M216" s="10"/>
      <c r="N216" s="10"/>
      <c r="O216" s="80"/>
      <c r="P216" s="99"/>
      <c r="Q216" s="4"/>
      <c r="R216" s="4"/>
      <c r="S216" s="4"/>
      <c r="T216" s="99"/>
    </row>
    <row r="217" spans="1:20" hidden="1" x14ac:dyDescent="0.25">
      <c r="A217" s="101"/>
      <c r="B217" s="6"/>
      <c r="C217" s="6"/>
      <c r="D217" s="104"/>
      <c r="E217" s="11"/>
      <c r="F217" s="80"/>
      <c r="G217" s="11"/>
      <c r="H217" s="80"/>
      <c r="I217" s="80"/>
      <c r="J217" s="80"/>
      <c r="K217" s="10"/>
      <c r="L217" s="99"/>
      <c r="M217" s="80"/>
      <c r="N217" s="80"/>
      <c r="O217" s="80"/>
      <c r="P217" s="99"/>
      <c r="Q217" s="99"/>
      <c r="R217" s="99"/>
      <c r="S217" s="4"/>
      <c r="T217" s="99"/>
    </row>
    <row r="218" spans="1:20" hidden="1" x14ac:dyDescent="0.25">
      <c r="A218" s="101"/>
      <c r="B218" s="6"/>
      <c r="C218" s="6"/>
      <c r="D218" s="104"/>
      <c r="E218" s="11"/>
      <c r="F218" s="80"/>
      <c r="G218" s="11"/>
      <c r="H218" s="80"/>
      <c r="I218" s="80"/>
      <c r="J218" s="10"/>
      <c r="K218" s="10"/>
      <c r="L218" s="99"/>
      <c r="M218" s="10"/>
      <c r="N218" s="80"/>
      <c r="O218" s="80"/>
      <c r="P218" s="99"/>
      <c r="Q218" s="4"/>
      <c r="R218" s="99"/>
      <c r="S218" s="4"/>
      <c r="T218" s="99"/>
    </row>
    <row r="219" spans="1:20" hidden="1" x14ac:dyDescent="0.25">
      <c r="A219" s="101"/>
      <c r="B219" s="6"/>
      <c r="C219" s="6"/>
      <c r="D219" s="104"/>
      <c r="E219" s="11"/>
      <c r="F219" s="80"/>
      <c r="G219" s="11"/>
      <c r="H219" s="80"/>
      <c r="I219" s="80"/>
      <c r="J219" s="10"/>
      <c r="K219" s="10"/>
      <c r="L219" s="99"/>
      <c r="M219" s="10"/>
      <c r="N219" s="80"/>
      <c r="O219" s="80"/>
      <c r="P219" s="99"/>
      <c r="Q219" s="4"/>
      <c r="R219" s="99"/>
      <c r="S219" s="4"/>
      <c r="T219" s="99"/>
    </row>
    <row r="220" spans="1:20" hidden="1" x14ac:dyDescent="0.25">
      <c r="A220" s="101"/>
      <c r="B220" s="6"/>
      <c r="C220" s="6"/>
      <c r="D220" s="104"/>
      <c r="E220" s="11"/>
      <c r="F220" s="80"/>
      <c r="G220" s="11"/>
      <c r="H220" s="80"/>
      <c r="I220" s="80"/>
      <c r="J220" s="10"/>
      <c r="K220" s="10"/>
      <c r="L220" s="99"/>
      <c r="M220" s="10"/>
      <c r="N220" s="80"/>
      <c r="O220" s="80"/>
      <c r="P220" s="99"/>
      <c r="Q220" s="4"/>
      <c r="R220" s="99"/>
      <c r="S220" s="4"/>
      <c r="T220" s="99"/>
    </row>
    <row r="221" spans="1:20" hidden="1" x14ac:dyDescent="0.25">
      <c r="A221" s="101"/>
      <c r="B221" s="6"/>
      <c r="C221" s="6"/>
      <c r="D221" s="104"/>
      <c r="E221" s="11"/>
      <c r="F221" s="80"/>
      <c r="G221" s="11"/>
      <c r="H221" s="80"/>
      <c r="I221" s="80"/>
      <c r="J221" s="10"/>
      <c r="K221" s="10"/>
      <c r="L221" s="99"/>
      <c r="M221" s="10"/>
      <c r="N221" s="80"/>
      <c r="O221" s="80"/>
      <c r="P221" s="99"/>
      <c r="Q221" s="4"/>
      <c r="R221" s="99"/>
      <c r="S221" s="4"/>
      <c r="T221" s="99"/>
    </row>
    <row r="222" spans="1:20" hidden="1" x14ac:dyDescent="0.25">
      <c r="A222" s="101"/>
      <c r="B222" s="6"/>
      <c r="C222" s="6"/>
      <c r="D222" s="104"/>
      <c r="E222" s="11"/>
      <c r="F222" s="80"/>
      <c r="G222" s="11"/>
      <c r="H222" s="80"/>
      <c r="I222" s="80"/>
      <c r="J222" s="10"/>
      <c r="K222" s="10"/>
      <c r="L222" s="99"/>
      <c r="M222" s="10"/>
      <c r="N222" s="80"/>
      <c r="O222" s="80"/>
      <c r="P222" s="99"/>
      <c r="Q222" s="4"/>
      <c r="R222" s="99"/>
      <c r="S222" s="4"/>
      <c r="T222" s="99"/>
    </row>
    <row r="223" spans="1:20" hidden="1" x14ac:dyDescent="0.25">
      <c r="A223" s="101"/>
      <c r="B223" s="6"/>
      <c r="C223" s="6"/>
      <c r="D223" s="104"/>
      <c r="E223" s="11"/>
      <c r="F223" s="80"/>
      <c r="G223" s="11"/>
      <c r="H223" s="80"/>
      <c r="I223" s="80"/>
      <c r="J223" s="10"/>
      <c r="K223" s="10"/>
      <c r="L223" s="99"/>
      <c r="M223" s="10"/>
      <c r="N223" s="80"/>
      <c r="O223" s="80"/>
      <c r="P223" s="99"/>
      <c r="Q223" s="4"/>
      <c r="R223" s="99"/>
      <c r="S223" s="4"/>
      <c r="T223" s="99"/>
    </row>
    <row r="224" spans="1:20" hidden="1" x14ac:dyDescent="0.25">
      <c r="A224" s="101"/>
      <c r="B224" s="6"/>
      <c r="C224" s="6"/>
      <c r="D224" s="104"/>
      <c r="E224" s="11"/>
      <c r="F224" s="80"/>
      <c r="G224" s="11"/>
      <c r="H224" s="80"/>
      <c r="I224" s="80"/>
      <c r="J224" s="10"/>
      <c r="K224" s="10"/>
      <c r="L224" s="99"/>
      <c r="M224" s="10"/>
      <c r="N224" s="80"/>
      <c r="O224" s="80"/>
      <c r="P224" s="99"/>
      <c r="Q224" s="4"/>
      <c r="R224" s="99"/>
      <c r="S224" s="4"/>
      <c r="T224" s="99"/>
    </row>
    <row r="225" spans="1:20" hidden="1" x14ac:dyDescent="0.25">
      <c r="A225" s="101"/>
      <c r="B225" s="6"/>
      <c r="C225" s="6"/>
      <c r="D225" s="104"/>
      <c r="E225" s="11"/>
      <c r="F225" s="80"/>
      <c r="G225" s="11"/>
      <c r="H225" s="80"/>
      <c r="I225" s="80"/>
      <c r="J225" s="10"/>
      <c r="K225" s="10"/>
      <c r="L225" s="99"/>
      <c r="M225" s="10"/>
      <c r="N225" s="80"/>
      <c r="O225" s="80"/>
      <c r="P225" s="99"/>
      <c r="Q225" s="4"/>
      <c r="R225" s="99"/>
      <c r="S225" s="4"/>
      <c r="T225" s="99"/>
    </row>
    <row r="226" spans="1:20" hidden="1" x14ac:dyDescent="0.25">
      <c r="A226" s="101"/>
      <c r="B226" s="6"/>
      <c r="C226" s="6"/>
      <c r="D226" s="104"/>
      <c r="E226" s="11"/>
      <c r="F226" s="80"/>
      <c r="G226" s="11"/>
      <c r="H226" s="80"/>
      <c r="I226" s="80"/>
      <c r="J226" s="10"/>
      <c r="K226" s="10"/>
      <c r="L226" s="99"/>
      <c r="M226" s="10"/>
      <c r="N226" s="80"/>
      <c r="O226" s="80"/>
      <c r="P226" s="99"/>
      <c r="Q226" s="4"/>
      <c r="R226" s="99"/>
      <c r="S226" s="4"/>
      <c r="T226" s="99"/>
    </row>
    <row r="227" spans="1:20" hidden="1" x14ac:dyDescent="0.25">
      <c r="A227" s="101"/>
      <c r="B227" s="6"/>
      <c r="C227" s="6"/>
      <c r="D227" s="104"/>
      <c r="E227" s="11"/>
      <c r="F227" s="80"/>
      <c r="G227" s="11"/>
      <c r="H227" s="80"/>
      <c r="I227" s="80"/>
      <c r="J227" s="10"/>
      <c r="K227" s="10"/>
      <c r="L227" s="99"/>
      <c r="M227" s="10"/>
      <c r="N227" s="80"/>
      <c r="O227" s="80"/>
      <c r="P227" s="99"/>
      <c r="Q227" s="4"/>
      <c r="R227" s="99"/>
      <c r="S227" s="4"/>
      <c r="T227" s="99"/>
    </row>
    <row r="228" spans="1:20" hidden="1" x14ac:dyDescent="0.25">
      <c r="A228" s="101"/>
      <c r="B228" s="6"/>
      <c r="C228" s="6"/>
      <c r="D228" s="104"/>
      <c r="E228" s="11"/>
      <c r="F228" s="80"/>
      <c r="G228" s="11"/>
      <c r="H228" s="80"/>
      <c r="I228" s="80"/>
      <c r="J228" s="10"/>
      <c r="K228" s="10"/>
      <c r="L228" s="99"/>
      <c r="M228" s="10"/>
      <c r="N228" s="80"/>
      <c r="O228" s="80"/>
      <c r="P228" s="99"/>
      <c r="Q228" s="4"/>
      <c r="R228" s="99"/>
      <c r="S228" s="4"/>
      <c r="T228" s="99"/>
    </row>
    <row r="229" spans="1:20" hidden="1" x14ac:dyDescent="0.25">
      <c r="A229" s="101"/>
      <c r="B229" s="6"/>
      <c r="C229" s="6"/>
      <c r="D229" s="104"/>
      <c r="E229" s="11"/>
      <c r="F229" s="80"/>
      <c r="G229" s="11"/>
      <c r="H229" s="80"/>
      <c r="I229" s="80"/>
      <c r="J229" s="10"/>
      <c r="K229" s="10"/>
      <c r="L229" s="99"/>
      <c r="M229" s="10"/>
      <c r="N229" s="80"/>
      <c r="O229" s="80"/>
      <c r="P229" s="99"/>
      <c r="Q229" s="4"/>
      <c r="R229" s="99"/>
      <c r="S229" s="4"/>
      <c r="T229" s="99"/>
    </row>
    <row r="230" spans="1:20" hidden="1" x14ac:dyDescent="0.25">
      <c r="A230" s="101"/>
      <c r="B230" s="6"/>
      <c r="C230" s="6"/>
      <c r="D230" s="104"/>
      <c r="E230" s="11"/>
      <c r="F230" s="80"/>
      <c r="G230" s="11"/>
      <c r="H230" s="80"/>
      <c r="I230" s="80"/>
      <c r="J230" s="10"/>
      <c r="K230" s="10"/>
      <c r="L230" s="99"/>
      <c r="M230" s="10"/>
      <c r="N230" s="80"/>
      <c r="O230" s="80"/>
      <c r="P230" s="99"/>
      <c r="Q230" s="4"/>
      <c r="R230" s="99"/>
      <c r="S230" s="4"/>
      <c r="T230" s="99"/>
    </row>
    <row r="231" spans="1:20" hidden="1" x14ac:dyDescent="0.25">
      <c r="A231" s="101"/>
      <c r="B231" s="6"/>
      <c r="C231" s="6"/>
      <c r="D231" s="104"/>
      <c r="E231" s="11"/>
      <c r="F231" s="80"/>
      <c r="G231" s="11"/>
      <c r="H231" s="80"/>
      <c r="I231" s="80"/>
      <c r="J231" s="10"/>
      <c r="K231" s="10"/>
      <c r="L231" s="99"/>
      <c r="M231" s="10"/>
      <c r="N231" s="80"/>
      <c r="O231" s="80"/>
      <c r="P231" s="99"/>
      <c r="Q231" s="4"/>
      <c r="R231" s="99"/>
      <c r="S231" s="4"/>
      <c r="T231" s="99"/>
    </row>
    <row r="232" spans="1:20" hidden="1" x14ac:dyDescent="0.25">
      <c r="A232" s="101"/>
      <c r="B232" s="6"/>
      <c r="C232" s="6"/>
      <c r="D232" s="104"/>
      <c r="E232" s="11"/>
      <c r="F232" s="80"/>
      <c r="G232" s="11"/>
      <c r="H232" s="80"/>
      <c r="I232" s="80"/>
      <c r="J232" s="10"/>
      <c r="K232" s="10"/>
      <c r="L232" s="99"/>
      <c r="M232" s="10"/>
      <c r="N232" s="80"/>
      <c r="O232" s="80"/>
      <c r="P232" s="99"/>
      <c r="Q232" s="4"/>
      <c r="R232" s="99"/>
      <c r="S232" s="4"/>
      <c r="T232" s="99"/>
    </row>
    <row r="233" spans="1:20" hidden="1" x14ac:dyDescent="0.25">
      <c r="A233" s="101"/>
      <c r="B233" s="6"/>
      <c r="C233" s="6"/>
      <c r="D233" s="104"/>
      <c r="E233" s="11"/>
      <c r="F233" s="80"/>
      <c r="G233" s="11"/>
      <c r="H233" s="80"/>
      <c r="I233" s="80"/>
      <c r="J233" s="10"/>
      <c r="K233" s="10"/>
      <c r="L233" s="99"/>
      <c r="M233" s="10"/>
      <c r="N233" s="80"/>
      <c r="O233" s="80"/>
      <c r="P233" s="99"/>
      <c r="Q233" s="4"/>
      <c r="R233" s="99"/>
      <c r="S233" s="4"/>
      <c r="T233" s="99"/>
    </row>
    <row r="234" spans="1:20" hidden="1" x14ac:dyDescent="0.25">
      <c r="A234" s="101"/>
      <c r="B234" s="6"/>
      <c r="C234" s="6"/>
      <c r="D234" s="104"/>
      <c r="E234" s="11"/>
      <c r="F234" s="80"/>
      <c r="G234" s="11"/>
      <c r="H234" s="80"/>
      <c r="I234" s="80"/>
      <c r="J234" s="10"/>
      <c r="K234" s="10"/>
      <c r="L234" s="99"/>
      <c r="M234" s="10"/>
      <c r="N234" s="80"/>
      <c r="O234" s="80"/>
      <c r="P234" s="99"/>
      <c r="Q234" s="4"/>
      <c r="R234" s="99"/>
      <c r="S234" s="4"/>
      <c r="T234" s="99"/>
    </row>
    <row r="235" spans="1:20" hidden="1" x14ac:dyDescent="0.25">
      <c r="A235" s="101"/>
      <c r="B235" s="6"/>
      <c r="C235" s="6"/>
      <c r="D235" s="104"/>
      <c r="E235" s="11"/>
      <c r="F235" s="80"/>
      <c r="G235" s="11"/>
      <c r="H235" s="80"/>
      <c r="I235" s="80"/>
      <c r="J235" s="10"/>
      <c r="K235" s="10"/>
      <c r="L235" s="99"/>
      <c r="M235" s="10"/>
      <c r="N235" s="80"/>
      <c r="O235" s="80"/>
      <c r="P235" s="99"/>
      <c r="Q235" s="4"/>
      <c r="R235" s="99"/>
      <c r="S235" s="4"/>
      <c r="T235" s="99"/>
    </row>
    <row r="236" spans="1:20" hidden="1" x14ac:dyDescent="0.25">
      <c r="A236" s="101"/>
      <c r="B236" s="6"/>
      <c r="C236" s="6"/>
      <c r="D236" s="104"/>
      <c r="E236" s="11"/>
      <c r="F236" s="80"/>
      <c r="G236" s="11"/>
      <c r="H236" s="80"/>
      <c r="I236" s="80"/>
      <c r="J236" s="10"/>
      <c r="K236" s="10"/>
      <c r="L236" s="99"/>
      <c r="M236" s="10"/>
      <c r="N236" s="80"/>
      <c r="O236" s="80"/>
      <c r="P236" s="99"/>
      <c r="Q236" s="4"/>
      <c r="R236" s="99"/>
      <c r="S236" s="4"/>
      <c r="T236" s="99"/>
    </row>
    <row r="237" spans="1:20" hidden="1" x14ac:dyDescent="0.25">
      <c r="A237" s="101"/>
      <c r="B237" s="6"/>
      <c r="C237" s="6"/>
      <c r="D237" s="104"/>
      <c r="E237" s="11"/>
      <c r="F237" s="80"/>
      <c r="G237" s="11"/>
      <c r="H237" s="80"/>
      <c r="I237" s="80"/>
      <c r="J237" s="10"/>
      <c r="K237" s="10"/>
      <c r="L237" s="99"/>
      <c r="M237" s="10"/>
      <c r="N237" s="80"/>
      <c r="O237" s="80"/>
      <c r="P237" s="99"/>
      <c r="Q237" s="4"/>
      <c r="R237" s="99"/>
      <c r="S237" s="4"/>
      <c r="T237" s="99"/>
    </row>
    <row r="238" spans="1:20" hidden="1" x14ac:dyDescent="0.25">
      <c r="A238" s="101"/>
      <c r="B238" s="6"/>
      <c r="C238" s="6"/>
      <c r="D238" s="104"/>
      <c r="E238" s="11"/>
      <c r="F238" s="80"/>
      <c r="G238" s="11"/>
      <c r="H238" s="80"/>
      <c r="I238" s="80"/>
      <c r="J238" s="10"/>
      <c r="K238" s="10"/>
      <c r="L238" s="99"/>
      <c r="M238" s="10"/>
      <c r="N238" s="80"/>
      <c r="O238" s="80"/>
      <c r="P238" s="99"/>
      <c r="Q238" s="4"/>
      <c r="R238" s="99"/>
      <c r="S238" s="4"/>
      <c r="T238" s="99"/>
    </row>
    <row r="239" spans="1:20" hidden="1" x14ac:dyDescent="0.25">
      <c r="A239" s="101"/>
      <c r="B239" s="6"/>
      <c r="C239" s="6"/>
      <c r="D239" s="104"/>
      <c r="E239" s="11"/>
      <c r="F239" s="80"/>
      <c r="G239" s="11"/>
      <c r="H239" s="80"/>
      <c r="I239" s="80"/>
      <c r="J239" s="10"/>
      <c r="K239" s="10"/>
      <c r="L239" s="99"/>
      <c r="M239" s="10"/>
      <c r="N239" s="80"/>
      <c r="O239" s="80"/>
      <c r="P239" s="99"/>
      <c r="Q239" s="4"/>
      <c r="R239" s="99"/>
      <c r="S239" s="4"/>
      <c r="T239" s="99"/>
    </row>
    <row r="240" spans="1:20" hidden="1" x14ac:dyDescent="0.25">
      <c r="A240" s="101"/>
      <c r="B240" s="6"/>
      <c r="C240" s="6"/>
      <c r="D240" s="104"/>
      <c r="E240" s="11"/>
      <c r="F240" s="80"/>
      <c r="G240" s="11"/>
      <c r="H240" s="80"/>
      <c r="I240" s="80"/>
      <c r="J240" s="10"/>
      <c r="K240" s="10"/>
      <c r="L240" s="99"/>
      <c r="M240" s="10"/>
      <c r="N240" s="80"/>
      <c r="O240" s="80"/>
      <c r="P240" s="99"/>
      <c r="Q240" s="4"/>
      <c r="R240" s="99"/>
      <c r="S240" s="4"/>
      <c r="T240" s="99"/>
    </row>
    <row r="241" spans="1:20" hidden="1" x14ac:dyDescent="0.25">
      <c r="A241" s="101"/>
      <c r="B241" s="6"/>
      <c r="C241" s="6"/>
      <c r="D241" s="104"/>
      <c r="E241" s="11"/>
      <c r="F241" s="80"/>
      <c r="G241" s="11"/>
      <c r="H241" s="80"/>
      <c r="I241" s="80"/>
      <c r="J241" s="10"/>
      <c r="K241" s="10"/>
      <c r="L241" s="99"/>
      <c r="M241" s="10"/>
      <c r="N241" s="80"/>
      <c r="O241" s="80"/>
      <c r="P241" s="99"/>
      <c r="Q241" s="4"/>
      <c r="R241" s="99"/>
      <c r="S241" s="4"/>
      <c r="T241" s="99"/>
    </row>
    <row r="242" spans="1:20" hidden="1" x14ac:dyDescent="0.25">
      <c r="A242" s="101"/>
      <c r="B242" s="6"/>
      <c r="C242" s="6"/>
      <c r="D242" s="104"/>
      <c r="E242" s="11"/>
      <c r="F242" s="80"/>
      <c r="G242" s="11"/>
      <c r="H242" s="80"/>
      <c r="I242" s="80"/>
      <c r="J242" s="10"/>
      <c r="K242" s="10"/>
      <c r="L242" s="99"/>
      <c r="M242" s="10"/>
      <c r="N242" s="80"/>
      <c r="O242" s="80"/>
      <c r="P242" s="99"/>
      <c r="Q242" s="4"/>
      <c r="R242" s="99"/>
      <c r="S242" s="4"/>
      <c r="T242" s="99"/>
    </row>
    <row r="243" spans="1:20" hidden="1" x14ac:dyDescent="0.25">
      <c r="A243" s="101"/>
      <c r="B243" s="6"/>
      <c r="C243" s="6"/>
      <c r="D243" s="104"/>
      <c r="E243" s="11"/>
      <c r="F243" s="80"/>
      <c r="G243" s="11"/>
      <c r="H243" s="80"/>
      <c r="I243" s="80"/>
      <c r="J243" s="10"/>
      <c r="K243" s="10"/>
      <c r="L243" s="99"/>
      <c r="M243" s="10"/>
      <c r="N243" s="80"/>
      <c r="O243" s="80"/>
      <c r="P243" s="99"/>
      <c r="Q243" s="4"/>
      <c r="R243" s="99"/>
      <c r="S243" s="4"/>
      <c r="T243" s="99"/>
    </row>
    <row r="244" spans="1:20" hidden="1" x14ac:dyDescent="0.25">
      <c r="A244" s="101"/>
      <c r="B244" s="6"/>
      <c r="C244" s="6"/>
      <c r="D244" s="104"/>
      <c r="E244" s="11"/>
      <c r="F244" s="80"/>
      <c r="G244" s="11"/>
      <c r="H244" s="80"/>
      <c r="I244" s="80"/>
      <c r="J244" s="10"/>
      <c r="K244" s="10"/>
      <c r="L244" s="99"/>
      <c r="M244" s="10"/>
      <c r="N244" s="80"/>
      <c r="O244" s="80"/>
      <c r="P244" s="99"/>
      <c r="Q244" s="4"/>
      <c r="R244" s="99"/>
      <c r="S244" s="4"/>
      <c r="T244" s="99"/>
    </row>
    <row r="245" spans="1:20" hidden="1" x14ac:dyDescent="0.25">
      <c r="A245" s="101"/>
      <c r="B245" s="6"/>
      <c r="C245" s="6"/>
      <c r="D245" s="104"/>
      <c r="E245" s="11"/>
      <c r="F245" s="80"/>
      <c r="G245" s="11"/>
      <c r="H245" s="80"/>
      <c r="I245" s="80"/>
      <c r="J245" s="10"/>
      <c r="K245" s="10"/>
      <c r="L245" s="99"/>
      <c r="M245" s="10"/>
      <c r="N245" s="80"/>
      <c r="O245" s="80"/>
      <c r="P245" s="99"/>
      <c r="Q245" s="4"/>
      <c r="R245" s="99"/>
      <c r="S245" s="4"/>
      <c r="T245" s="99"/>
    </row>
    <row r="246" spans="1:20" hidden="1" x14ac:dyDescent="0.25">
      <c r="A246" s="101"/>
      <c r="B246" s="6"/>
      <c r="C246" s="6"/>
      <c r="D246" s="104"/>
      <c r="E246" s="11"/>
      <c r="F246" s="80"/>
      <c r="G246" s="11"/>
      <c r="H246" s="80"/>
      <c r="I246" s="80"/>
      <c r="J246" s="10"/>
      <c r="K246" s="10"/>
      <c r="L246" s="99"/>
      <c r="M246" s="80"/>
      <c r="N246" s="80"/>
      <c r="O246" s="80"/>
      <c r="P246" s="99"/>
      <c r="Q246" s="4"/>
      <c r="R246" s="99"/>
      <c r="S246" s="4"/>
      <c r="T246" s="99"/>
    </row>
    <row r="247" spans="1:20" hidden="1" x14ac:dyDescent="0.25">
      <c r="A247" s="101"/>
      <c r="B247" s="6"/>
      <c r="C247" s="6"/>
      <c r="D247" s="104"/>
      <c r="E247" s="11"/>
      <c r="F247" s="80"/>
      <c r="G247" s="80"/>
      <c r="H247" s="80"/>
      <c r="I247" s="80"/>
      <c r="J247" s="10"/>
      <c r="K247" s="10"/>
      <c r="L247" s="99"/>
      <c r="M247" s="10"/>
      <c r="N247" s="80"/>
      <c r="O247" s="80"/>
      <c r="P247" s="99"/>
      <c r="Q247" s="4"/>
      <c r="R247" s="99"/>
      <c r="S247" s="4"/>
      <c r="T247" s="99"/>
    </row>
    <row r="248" spans="1:20" hidden="1" x14ac:dyDescent="0.25">
      <c r="A248" s="101"/>
      <c r="B248" s="6"/>
      <c r="C248" s="6"/>
      <c r="D248" s="104"/>
      <c r="E248" s="11"/>
      <c r="F248" s="80"/>
      <c r="G248" s="11"/>
      <c r="H248" s="80"/>
      <c r="I248" s="80"/>
      <c r="J248" s="10"/>
      <c r="K248" s="10"/>
      <c r="L248" s="99"/>
      <c r="M248" s="10"/>
      <c r="N248" s="80"/>
      <c r="O248" s="80"/>
      <c r="P248" s="99"/>
      <c r="Q248" s="4"/>
      <c r="R248" s="99"/>
      <c r="S248" s="4"/>
      <c r="T248" s="99"/>
    </row>
    <row r="249" spans="1:20" hidden="1" x14ac:dyDescent="0.25">
      <c r="A249" s="101"/>
      <c r="B249" s="6"/>
      <c r="C249" s="6"/>
      <c r="D249" s="104"/>
      <c r="E249" s="11"/>
      <c r="F249" s="80"/>
      <c r="G249" s="11"/>
      <c r="H249" s="80"/>
      <c r="I249" s="80"/>
      <c r="J249" s="10"/>
      <c r="K249" s="10"/>
      <c r="L249" s="99"/>
      <c r="M249" s="80"/>
      <c r="N249" s="80"/>
      <c r="O249" s="80"/>
      <c r="P249" s="99"/>
      <c r="Q249" s="1"/>
      <c r="R249" s="99"/>
      <c r="S249" s="4"/>
      <c r="T249" s="99"/>
    </row>
    <row r="250" spans="1:20" hidden="1" x14ac:dyDescent="0.25">
      <c r="A250" s="101"/>
      <c r="B250" s="6"/>
      <c r="C250" s="6"/>
      <c r="D250" s="104"/>
      <c r="E250" s="11"/>
      <c r="F250" s="80"/>
      <c r="G250" s="11"/>
      <c r="H250" s="80"/>
      <c r="I250" s="80"/>
      <c r="J250" s="10"/>
      <c r="K250" s="10"/>
      <c r="L250" s="99"/>
      <c r="M250" s="80"/>
      <c r="N250" s="80"/>
      <c r="O250" s="80"/>
      <c r="P250" s="99"/>
      <c r="Q250" s="4"/>
      <c r="R250" s="99"/>
      <c r="S250" s="4"/>
      <c r="T250" s="99"/>
    </row>
    <row r="251" spans="1:20" hidden="1" x14ac:dyDescent="0.25">
      <c r="A251" s="101"/>
      <c r="B251" s="6"/>
      <c r="C251" s="6"/>
      <c r="D251" s="104"/>
      <c r="E251" s="11"/>
      <c r="F251" s="80"/>
      <c r="G251" s="11"/>
      <c r="H251" s="80"/>
      <c r="I251" s="80"/>
      <c r="J251" s="10"/>
      <c r="K251" s="10"/>
      <c r="L251" s="99"/>
      <c r="M251" s="10"/>
      <c r="N251" s="80"/>
      <c r="O251" s="80"/>
      <c r="P251" s="99"/>
      <c r="Q251" s="4"/>
      <c r="R251" s="99"/>
      <c r="S251" s="4"/>
      <c r="T251" s="99"/>
    </row>
    <row r="252" spans="1:20" hidden="1" x14ac:dyDescent="0.25">
      <c r="A252" s="101"/>
      <c r="B252" s="6"/>
      <c r="C252" s="6"/>
      <c r="D252" s="104"/>
      <c r="E252" s="11"/>
      <c r="F252" s="80"/>
      <c r="G252" s="11"/>
      <c r="H252" s="80"/>
      <c r="I252" s="80"/>
      <c r="J252" s="10"/>
      <c r="K252" s="10"/>
      <c r="L252" s="99"/>
      <c r="M252" s="80"/>
      <c r="N252" s="80"/>
      <c r="O252" s="80"/>
      <c r="P252" s="99"/>
      <c r="Q252" s="1"/>
      <c r="R252" s="99"/>
      <c r="S252" s="4"/>
      <c r="T252" s="99"/>
    </row>
    <row r="253" spans="1:20" hidden="1" x14ac:dyDescent="0.25">
      <c r="A253" s="101"/>
      <c r="B253" s="6"/>
      <c r="C253" s="6"/>
      <c r="D253" s="104"/>
      <c r="E253" s="11"/>
      <c r="F253" s="80"/>
      <c r="G253" s="11"/>
      <c r="H253" s="80"/>
      <c r="I253" s="80"/>
      <c r="J253" s="10"/>
      <c r="K253" s="10"/>
      <c r="L253" s="99"/>
      <c r="M253" s="80"/>
      <c r="N253" s="80"/>
      <c r="O253" s="80"/>
      <c r="P253" s="99"/>
      <c r="Q253" s="4"/>
      <c r="R253" s="99"/>
      <c r="S253" s="4"/>
      <c r="T253" s="99"/>
    </row>
    <row r="254" spans="1:20" hidden="1" x14ac:dyDescent="0.25">
      <c r="A254" s="101"/>
      <c r="B254" s="6"/>
      <c r="C254" s="6"/>
      <c r="D254" s="104"/>
      <c r="E254" s="11"/>
      <c r="F254" s="80"/>
      <c r="G254" s="11"/>
      <c r="H254" s="80"/>
      <c r="I254" s="80"/>
      <c r="J254" s="10"/>
      <c r="K254" s="10"/>
      <c r="L254" s="99"/>
      <c r="M254" s="10"/>
      <c r="N254" s="80"/>
      <c r="O254" s="80"/>
      <c r="P254" s="99"/>
      <c r="Q254" s="4"/>
      <c r="R254" s="99"/>
      <c r="S254" s="4"/>
      <c r="T254" s="99"/>
    </row>
    <row r="255" spans="1:20" hidden="1" x14ac:dyDescent="0.25">
      <c r="A255" s="101"/>
      <c r="B255" s="6"/>
      <c r="C255" s="6"/>
      <c r="D255" s="104"/>
      <c r="E255" s="11"/>
      <c r="F255" s="80"/>
      <c r="G255" s="11"/>
      <c r="H255" s="80"/>
      <c r="I255" s="80"/>
      <c r="J255" s="10"/>
      <c r="K255" s="10"/>
      <c r="L255" s="99"/>
      <c r="M255" s="10"/>
      <c r="N255" s="80"/>
      <c r="O255" s="80"/>
      <c r="P255" s="99"/>
      <c r="Q255" s="4"/>
      <c r="R255" s="99"/>
      <c r="S255" s="4"/>
      <c r="T255" s="99"/>
    </row>
    <row r="256" spans="1:20" hidden="1" x14ac:dyDescent="0.25">
      <c r="A256" s="101"/>
      <c r="B256" s="6"/>
      <c r="C256" s="6"/>
      <c r="D256" s="104"/>
      <c r="E256" s="11"/>
      <c r="F256" s="80"/>
      <c r="G256" s="11"/>
      <c r="H256" s="80"/>
      <c r="I256" s="80"/>
      <c r="J256" s="10"/>
      <c r="K256" s="10"/>
      <c r="L256" s="99"/>
      <c r="M256" s="10"/>
      <c r="N256" s="80"/>
      <c r="O256" s="80"/>
      <c r="P256" s="99"/>
      <c r="Q256" s="4"/>
      <c r="R256" s="99"/>
      <c r="S256" s="4"/>
      <c r="T256" s="99"/>
    </row>
    <row r="257" spans="1:23" hidden="1" x14ac:dyDescent="0.25">
      <c r="A257" s="101"/>
      <c r="B257" s="6"/>
      <c r="C257" s="6"/>
      <c r="D257" s="104"/>
      <c r="E257" s="11"/>
      <c r="F257" s="80"/>
      <c r="G257" s="11"/>
      <c r="H257" s="80"/>
      <c r="I257" s="80"/>
      <c r="J257" s="10"/>
      <c r="K257" s="10"/>
      <c r="L257" s="99"/>
      <c r="M257" s="80"/>
      <c r="N257" s="80"/>
      <c r="O257" s="80"/>
      <c r="P257" s="99"/>
      <c r="Q257" s="4"/>
      <c r="R257" s="99"/>
      <c r="S257" s="4"/>
      <c r="T257" s="99"/>
    </row>
    <row r="258" spans="1:23" hidden="1" x14ac:dyDescent="0.25">
      <c r="A258" s="101"/>
      <c r="B258" s="6"/>
      <c r="C258" s="6"/>
      <c r="D258" s="104"/>
      <c r="E258" s="11"/>
      <c r="F258" s="80"/>
      <c r="G258" s="11"/>
      <c r="H258" s="80"/>
      <c r="I258" s="80"/>
      <c r="J258" s="10"/>
      <c r="K258" s="10"/>
      <c r="L258" s="99"/>
      <c r="M258" s="10"/>
      <c r="N258" s="80"/>
      <c r="O258" s="80"/>
      <c r="P258" s="99"/>
      <c r="Q258" s="4"/>
      <c r="R258" s="99"/>
      <c r="S258" s="4"/>
      <c r="T258" s="99"/>
    </row>
    <row r="259" spans="1:23" hidden="1" x14ac:dyDescent="0.25">
      <c r="A259" s="101"/>
      <c r="B259" s="6"/>
      <c r="C259" s="6"/>
      <c r="D259" s="104"/>
      <c r="E259" s="11"/>
      <c r="F259" s="80"/>
      <c r="G259" s="11"/>
      <c r="H259" s="80"/>
      <c r="I259" s="80"/>
      <c r="J259" s="10"/>
      <c r="K259" s="10"/>
      <c r="L259" s="99"/>
      <c r="M259" s="10"/>
      <c r="N259" s="80"/>
      <c r="O259" s="80"/>
      <c r="P259" s="99"/>
      <c r="Q259" s="4"/>
      <c r="R259" s="99"/>
      <c r="S259" s="4"/>
      <c r="T259" s="99"/>
    </row>
    <row r="260" spans="1:23" hidden="1" x14ac:dyDescent="0.25">
      <c r="A260" s="101"/>
      <c r="B260" s="6"/>
      <c r="C260" s="6"/>
      <c r="D260" s="104"/>
      <c r="E260" s="11"/>
      <c r="F260" s="80"/>
      <c r="G260" s="11"/>
      <c r="H260" s="80"/>
      <c r="I260" s="80"/>
      <c r="J260" s="10"/>
      <c r="K260" s="10"/>
      <c r="L260" s="99"/>
      <c r="M260" s="10"/>
      <c r="N260" s="80"/>
      <c r="O260" s="80"/>
      <c r="P260" s="99"/>
      <c r="Q260" s="1"/>
      <c r="R260" s="99"/>
      <c r="S260" s="4"/>
      <c r="T260" s="99"/>
    </row>
    <row r="261" spans="1:23" hidden="1" x14ac:dyDescent="0.25">
      <c r="A261" s="109"/>
      <c r="B261" s="6"/>
      <c r="C261" s="6"/>
      <c r="D261" s="104"/>
      <c r="E261" s="11"/>
      <c r="F261" s="80"/>
      <c r="G261" s="11"/>
      <c r="H261" s="80"/>
      <c r="I261" s="80"/>
      <c r="J261" s="10"/>
      <c r="K261" s="10"/>
      <c r="L261" s="99"/>
      <c r="M261" s="10"/>
      <c r="N261" s="80"/>
      <c r="O261" s="80"/>
      <c r="P261" s="99"/>
      <c r="Q261" s="4"/>
      <c r="R261" s="99"/>
      <c r="S261" s="4"/>
      <c r="T261" s="99"/>
    </row>
    <row r="262" spans="1:23" hidden="1" x14ac:dyDescent="0.25">
      <c r="A262" s="101"/>
      <c r="B262" s="6"/>
      <c r="C262" s="6"/>
      <c r="D262" s="104"/>
      <c r="E262" s="11"/>
      <c r="F262" s="80"/>
      <c r="G262" s="11"/>
      <c r="H262" s="80"/>
      <c r="I262" s="80"/>
      <c r="J262" s="10"/>
      <c r="K262" s="10"/>
      <c r="L262" s="99"/>
      <c r="M262" s="10"/>
      <c r="N262" s="80"/>
      <c r="O262" s="80"/>
      <c r="P262" s="99"/>
      <c r="Q262" s="4"/>
      <c r="R262" s="99"/>
      <c r="S262" s="4"/>
      <c r="T262" s="99"/>
    </row>
    <row r="263" spans="1:23" hidden="1" x14ac:dyDescent="0.25">
      <c r="A263" s="10"/>
      <c r="B263" s="6"/>
      <c r="C263" s="6"/>
      <c r="D263" s="104"/>
      <c r="E263" s="11"/>
      <c r="F263" s="80"/>
      <c r="G263" s="11"/>
      <c r="H263" s="80"/>
      <c r="I263" s="80"/>
      <c r="J263" s="10"/>
      <c r="K263" s="10"/>
      <c r="L263" s="99"/>
      <c r="M263" s="10"/>
      <c r="N263" s="80"/>
      <c r="O263" s="80"/>
      <c r="P263" s="99"/>
      <c r="Q263" s="1"/>
      <c r="R263" s="99"/>
      <c r="S263" s="4"/>
      <c r="T263" s="99"/>
    </row>
    <row r="264" spans="1:23" s="9" customFormat="1" hidden="1" x14ac:dyDescent="0.25">
      <c r="A264" s="10"/>
      <c r="B264" s="7"/>
      <c r="C264" s="7"/>
      <c r="D264" s="104"/>
      <c r="E264" s="11"/>
      <c r="F264" s="80"/>
      <c r="G264" s="11"/>
      <c r="H264" s="80"/>
      <c r="I264" s="80"/>
      <c r="J264" s="10"/>
      <c r="K264" s="10"/>
      <c r="L264" s="80"/>
      <c r="M264" s="10"/>
      <c r="N264" s="80"/>
      <c r="O264" s="80"/>
      <c r="P264" s="80"/>
      <c r="Q264" s="10"/>
      <c r="R264" s="80"/>
      <c r="S264" s="10"/>
      <c r="T264" s="80"/>
      <c r="W264" s="251"/>
    </row>
    <row r="265" spans="1:23" s="9" customFormat="1" hidden="1" x14ac:dyDescent="0.25">
      <c r="A265" s="10"/>
      <c r="B265" s="7"/>
      <c r="C265" s="7"/>
      <c r="D265" s="104"/>
      <c r="E265" s="11"/>
      <c r="F265" s="84"/>
      <c r="G265" s="11"/>
      <c r="H265" s="84"/>
      <c r="I265" s="80"/>
      <c r="J265" s="84"/>
      <c r="K265" s="84"/>
      <c r="L265" s="80"/>
      <c r="M265" s="84"/>
      <c r="N265" s="84"/>
      <c r="O265" s="80"/>
      <c r="P265" s="80"/>
      <c r="Q265" s="84"/>
      <c r="R265" s="84"/>
      <c r="S265" s="84"/>
      <c r="T265" s="80"/>
      <c r="W265" s="251"/>
    </row>
    <row r="266" spans="1:23" s="9" customFormat="1" hidden="1" x14ac:dyDescent="0.25">
      <c r="A266" s="10"/>
      <c r="B266" s="7"/>
      <c r="C266" s="7"/>
      <c r="D266" s="104"/>
      <c r="E266" s="11"/>
      <c r="F266" s="84"/>
      <c r="G266" s="11"/>
      <c r="H266" s="84"/>
      <c r="I266" s="80"/>
      <c r="J266" s="84"/>
      <c r="K266" s="84"/>
      <c r="L266" s="80"/>
      <c r="M266" s="84"/>
      <c r="N266" s="84"/>
      <c r="O266" s="80"/>
      <c r="P266" s="80"/>
      <c r="Q266" s="84"/>
      <c r="R266" s="84"/>
      <c r="S266" s="84"/>
      <c r="T266" s="80"/>
      <c r="W266" s="251"/>
    </row>
    <row r="267" spans="1:23" s="9" customFormat="1" hidden="1" x14ac:dyDescent="0.25">
      <c r="A267" s="10"/>
      <c r="B267" s="7"/>
      <c r="C267" s="7"/>
      <c r="D267" s="104"/>
      <c r="E267" s="11"/>
      <c r="F267" s="10"/>
      <c r="G267" s="11"/>
      <c r="H267" s="10"/>
      <c r="I267" s="80"/>
      <c r="J267" s="84"/>
      <c r="K267" s="10"/>
      <c r="L267" s="80"/>
      <c r="M267" s="10"/>
      <c r="N267" s="84"/>
      <c r="O267" s="80"/>
      <c r="P267" s="80"/>
      <c r="Q267" s="10"/>
      <c r="R267" s="84"/>
      <c r="S267" s="10"/>
      <c r="T267" s="80"/>
      <c r="W267" s="251"/>
    </row>
    <row r="268" spans="1:23" s="9" customFormat="1" hidden="1" x14ac:dyDescent="0.25">
      <c r="A268" s="10"/>
      <c r="B268" s="7"/>
      <c r="C268" s="7"/>
      <c r="D268" s="104"/>
      <c r="E268" s="11"/>
      <c r="F268" s="10"/>
      <c r="G268" s="11"/>
      <c r="H268" s="10"/>
      <c r="I268" s="80"/>
      <c r="J268" s="10"/>
      <c r="K268" s="10"/>
      <c r="L268" s="80"/>
      <c r="M268" s="10"/>
      <c r="N268" s="10"/>
      <c r="O268" s="80"/>
      <c r="P268" s="80"/>
      <c r="Q268" s="10"/>
      <c r="R268" s="10"/>
      <c r="S268" s="10"/>
      <c r="T268" s="80"/>
      <c r="W268" s="251"/>
    </row>
    <row r="269" spans="1:23" s="9" customFormat="1" hidden="1" x14ac:dyDescent="0.25">
      <c r="A269" s="10"/>
      <c r="B269" s="7"/>
      <c r="C269" s="7"/>
      <c r="D269" s="104"/>
      <c r="E269" s="11"/>
      <c r="F269" s="10"/>
      <c r="G269" s="11"/>
      <c r="H269" s="10"/>
      <c r="I269" s="80"/>
      <c r="J269" s="10"/>
      <c r="K269" s="10"/>
      <c r="L269" s="80"/>
      <c r="M269" s="10"/>
      <c r="N269" s="10"/>
      <c r="O269" s="80"/>
      <c r="P269" s="80"/>
      <c r="Q269" s="10"/>
      <c r="R269" s="10"/>
      <c r="S269" s="10"/>
      <c r="T269" s="80"/>
      <c r="W269" s="251"/>
    </row>
    <row r="270" spans="1:23" s="112" customFormat="1" hidden="1" x14ac:dyDescent="0.25">
      <c r="A270" s="113"/>
      <c r="B270" s="7"/>
      <c r="C270" s="114"/>
      <c r="D270" s="104"/>
      <c r="E270" s="11"/>
      <c r="F270" s="113"/>
      <c r="G270" s="11"/>
      <c r="H270" s="113"/>
      <c r="I270" s="80"/>
      <c r="J270" s="113"/>
      <c r="K270" s="113"/>
      <c r="L270" s="80"/>
      <c r="M270" s="113"/>
      <c r="N270" s="113"/>
      <c r="O270" s="80"/>
      <c r="P270" s="80"/>
      <c r="Q270" s="113"/>
      <c r="R270" s="113"/>
      <c r="S270" s="113"/>
      <c r="T270" s="80"/>
      <c r="W270" s="251"/>
    </row>
    <row r="271" spans="1:23" s="9" customFormat="1" hidden="1" x14ac:dyDescent="0.25">
      <c r="A271" s="111"/>
      <c r="B271" s="7"/>
      <c r="C271" s="7"/>
      <c r="D271" s="104"/>
      <c r="E271" s="11"/>
      <c r="F271" s="80"/>
      <c r="G271" s="11"/>
      <c r="H271" s="80"/>
      <c r="I271" s="80"/>
      <c r="J271" s="80"/>
      <c r="K271" s="10"/>
      <c r="L271" s="80"/>
      <c r="M271" s="80"/>
      <c r="N271" s="80"/>
      <c r="O271" s="80"/>
      <c r="P271" s="80"/>
      <c r="Q271" s="80"/>
      <c r="R271" s="80"/>
      <c r="S271" s="10"/>
      <c r="T271" s="80"/>
      <c r="W271" s="251"/>
    </row>
    <row r="272" spans="1:23" hidden="1" x14ac:dyDescent="0.25">
      <c r="A272" s="101"/>
      <c r="B272" s="6"/>
      <c r="C272" s="6"/>
      <c r="D272" s="104"/>
      <c r="E272" s="11"/>
      <c r="F272" s="80"/>
      <c r="G272" s="11"/>
      <c r="H272" s="80"/>
      <c r="I272" s="80"/>
      <c r="J272" s="10"/>
      <c r="K272" s="10"/>
      <c r="L272" s="99"/>
      <c r="M272" s="10"/>
      <c r="N272" s="80"/>
      <c r="O272" s="80"/>
      <c r="P272" s="99"/>
      <c r="Q272" s="4"/>
      <c r="R272" s="99"/>
      <c r="S272" s="4"/>
      <c r="T272" s="99"/>
    </row>
    <row r="273" spans="1:20" hidden="1" x14ac:dyDescent="0.25">
      <c r="A273" s="101"/>
      <c r="B273" s="6"/>
      <c r="C273" s="6"/>
      <c r="D273" s="104"/>
      <c r="E273" s="11"/>
      <c r="F273" s="80"/>
      <c r="G273" s="11"/>
      <c r="H273" s="80"/>
      <c r="I273" s="80"/>
      <c r="J273" s="10"/>
      <c r="K273" s="10"/>
      <c r="L273" s="99"/>
      <c r="M273" s="10"/>
      <c r="N273" s="80"/>
      <c r="O273" s="80"/>
      <c r="P273" s="99"/>
      <c r="Q273" s="4"/>
      <c r="R273" s="99"/>
      <c r="S273" s="4"/>
      <c r="T273" s="99"/>
    </row>
    <row r="274" spans="1:20" hidden="1" x14ac:dyDescent="0.25">
      <c r="A274" s="101"/>
      <c r="B274" s="6"/>
      <c r="C274" s="6"/>
      <c r="D274" s="104"/>
      <c r="E274" s="11"/>
      <c r="F274" s="80"/>
      <c r="G274" s="11"/>
      <c r="H274" s="80"/>
      <c r="I274" s="80"/>
      <c r="J274" s="10"/>
      <c r="K274" s="10"/>
      <c r="L274" s="99"/>
      <c r="M274" s="10"/>
      <c r="N274" s="80"/>
      <c r="O274" s="80"/>
      <c r="P274" s="99"/>
      <c r="Q274" s="4"/>
      <c r="R274" s="99"/>
      <c r="S274" s="4"/>
      <c r="T274" s="99"/>
    </row>
    <row r="275" spans="1:20" hidden="1" x14ac:dyDescent="0.25">
      <c r="A275" s="101"/>
      <c r="B275" s="6"/>
      <c r="C275" s="6"/>
      <c r="D275" s="104"/>
      <c r="E275" s="11"/>
      <c r="F275" s="80"/>
      <c r="G275" s="11"/>
      <c r="H275" s="80"/>
      <c r="I275" s="80"/>
      <c r="J275" s="10"/>
      <c r="K275" s="10"/>
      <c r="L275" s="99"/>
      <c r="M275" s="10"/>
      <c r="N275" s="80"/>
      <c r="O275" s="80"/>
      <c r="P275" s="99"/>
      <c r="Q275" s="4"/>
      <c r="R275" s="99"/>
      <c r="S275" s="4"/>
      <c r="T275" s="99"/>
    </row>
    <row r="276" spans="1:20" hidden="1" x14ac:dyDescent="0.25">
      <c r="A276" s="101"/>
      <c r="B276" s="6"/>
      <c r="C276" s="6"/>
      <c r="D276" s="104"/>
      <c r="E276" s="11"/>
      <c r="F276" s="80"/>
      <c r="G276" s="11"/>
      <c r="H276" s="80"/>
      <c r="I276" s="80"/>
      <c r="J276" s="10"/>
      <c r="K276" s="10"/>
      <c r="L276" s="99"/>
      <c r="M276" s="10"/>
      <c r="N276" s="80"/>
      <c r="O276" s="80"/>
      <c r="P276" s="99"/>
      <c r="Q276" s="4"/>
      <c r="R276" s="99"/>
      <c r="S276" s="4"/>
      <c r="T276" s="99"/>
    </row>
    <row r="277" spans="1:20" hidden="1" x14ac:dyDescent="0.25">
      <c r="A277" s="101"/>
      <c r="B277" s="6"/>
      <c r="C277" s="6"/>
      <c r="D277" s="104"/>
      <c r="E277" s="11"/>
      <c r="F277" s="80"/>
      <c r="G277" s="11"/>
      <c r="H277" s="80"/>
      <c r="I277" s="80"/>
      <c r="J277" s="10"/>
      <c r="K277" s="10"/>
      <c r="L277" s="99"/>
      <c r="M277" s="10"/>
      <c r="N277" s="80"/>
      <c r="O277" s="80"/>
      <c r="P277" s="99"/>
      <c r="Q277" s="4"/>
      <c r="R277" s="99"/>
      <c r="S277" s="4"/>
      <c r="T277" s="99"/>
    </row>
    <row r="278" spans="1:20" hidden="1" x14ac:dyDescent="0.25">
      <c r="A278" s="101"/>
      <c r="B278" s="6"/>
      <c r="C278" s="6"/>
      <c r="D278" s="104"/>
      <c r="E278" s="11"/>
      <c r="F278" s="80"/>
      <c r="G278" s="11"/>
      <c r="H278" s="80"/>
      <c r="I278" s="80"/>
      <c r="J278" s="10"/>
      <c r="K278" s="10"/>
      <c r="L278" s="99"/>
      <c r="M278" s="10"/>
      <c r="N278" s="80"/>
      <c r="O278" s="80"/>
      <c r="P278" s="99"/>
      <c r="Q278" s="4"/>
      <c r="R278" s="99"/>
      <c r="S278" s="4"/>
      <c r="T278" s="99"/>
    </row>
    <row r="279" spans="1:20" hidden="1" x14ac:dyDescent="0.25">
      <c r="A279" s="101"/>
      <c r="B279" s="6"/>
      <c r="C279" s="6"/>
      <c r="D279" s="104"/>
      <c r="E279" s="11"/>
      <c r="F279" s="80"/>
      <c r="G279" s="11"/>
      <c r="H279" s="80"/>
      <c r="I279" s="80"/>
      <c r="J279" s="10"/>
      <c r="K279" s="10"/>
      <c r="L279" s="99"/>
      <c r="M279" s="10"/>
      <c r="N279" s="80"/>
      <c r="O279" s="80"/>
      <c r="P279" s="99"/>
      <c r="Q279" s="4"/>
      <c r="R279" s="99"/>
      <c r="S279" s="4"/>
      <c r="T279" s="99"/>
    </row>
    <row r="280" spans="1:20" hidden="1" x14ac:dyDescent="0.25">
      <c r="A280" s="101"/>
      <c r="B280" s="6"/>
      <c r="C280" s="6"/>
      <c r="D280" s="104"/>
      <c r="E280" s="11"/>
      <c r="F280" s="80"/>
      <c r="G280" s="11"/>
      <c r="H280" s="80"/>
      <c r="I280" s="80"/>
      <c r="J280" s="10"/>
      <c r="K280" s="10"/>
      <c r="L280" s="99"/>
      <c r="M280" s="10"/>
      <c r="N280" s="80"/>
      <c r="O280" s="80"/>
      <c r="P280" s="99"/>
      <c r="Q280" s="4"/>
      <c r="R280" s="99"/>
      <c r="S280" s="4"/>
      <c r="T280" s="99"/>
    </row>
    <row r="281" spans="1:20" hidden="1" x14ac:dyDescent="0.25">
      <c r="A281" s="101"/>
      <c r="B281" s="6"/>
      <c r="C281" s="6"/>
      <c r="D281" s="104"/>
      <c r="E281" s="11"/>
      <c r="F281" s="80"/>
      <c r="G281" s="11"/>
      <c r="H281" s="80"/>
      <c r="I281" s="80"/>
      <c r="J281" s="10"/>
      <c r="K281" s="10"/>
      <c r="L281" s="99"/>
      <c r="M281" s="10"/>
      <c r="N281" s="80"/>
      <c r="O281" s="80"/>
      <c r="P281" s="99"/>
      <c r="Q281" s="4"/>
      <c r="R281" s="99"/>
      <c r="S281" s="4"/>
      <c r="T281" s="99"/>
    </row>
    <row r="282" spans="1:20" hidden="1" x14ac:dyDescent="0.25">
      <c r="A282" s="101"/>
      <c r="B282" s="6"/>
      <c r="C282" s="6"/>
      <c r="D282" s="104"/>
      <c r="E282" s="11"/>
      <c r="F282" s="80"/>
      <c r="G282" s="11"/>
      <c r="H282" s="80"/>
      <c r="I282" s="80"/>
      <c r="J282" s="10"/>
      <c r="K282" s="10"/>
      <c r="L282" s="99"/>
      <c r="M282" s="10"/>
      <c r="N282" s="80"/>
      <c r="O282" s="80"/>
      <c r="P282" s="99"/>
      <c r="Q282" s="4"/>
      <c r="R282" s="99"/>
      <c r="S282" s="4"/>
      <c r="T282" s="99"/>
    </row>
    <row r="283" spans="1:20" hidden="1" x14ac:dyDescent="0.25">
      <c r="A283" s="101"/>
      <c r="B283" s="6"/>
      <c r="C283" s="6"/>
      <c r="D283" s="104"/>
      <c r="E283" s="11"/>
      <c r="F283" s="80"/>
      <c r="G283" s="11"/>
      <c r="H283" s="80"/>
      <c r="I283" s="80"/>
      <c r="J283" s="10"/>
      <c r="K283" s="10"/>
      <c r="L283" s="99"/>
      <c r="M283" s="10"/>
      <c r="N283" s="80"/>
      <c r="O283" s="80"/>
      <c r="P283" s="99"/>
      <c r="Q283" s="4"/>
      <c r="R283" s="99"/>
      <c r="S283" s="4"/>
      <c r="T283" s="99"/>
    </row>
    <row r="284" spans="1:20" hidden="1" x14ac:dyDescent="0.25">
      <c r="A284" s="101"/>
      <c r="B284" s="6"/>
      <c r="C284" s="6"/>
      <c r="D284" s="104"/>
      <c r="E284" s="11"/>
      <c r="F284" s="80"/>
      <c r="G284" s="11"/>
      <c r="H284" s="80"/>
      <c r="I284" s="80"/>
      <c r="J284" s="10"/>
      <c r="K284" s="10"/>
      <c r="L284" s="99"/>
      <c r="M284" s="10"/>
      <c r="N284" s="80"/>
      <c r="O284" s="80"/>
      <c r="P284" s="99"/>
      <c r="Q284" s="4"/>
      <c r="R284" s="99"/>
      <c r="S284" s="4"/>
      <c r="T284" s="99"/>
    </row>
    <row r="285" spans="1:20" hidden="1" x14ac:dyDescent="0.25">
      <c r="A285" s="101"/>
      <c r="B285" s="6"/>
      <c r="C285" s="6"/>
      <c r="D285" s="104"/>
      <c r="E285" s="11"/>
      <c r="F285" s="80"/>
      <c r="G285" s="11"/>
      <c r="H285" s="80"/>
      <c r="I285" s="80"/>
      <c r="J285" s="10"/>
      <c r="K285" s="10"/>
      <c r="L285" s="99"/>
      <c r="M285" s="10"/>
      <c r="N285" s="80"/>
      <c r="O285" s="80"/>
      <c r="P285" s="99"/>
      <c r="Q285" s="4"/>
      <c r="R285" s="99"/>
      <c r="S285" s="4"/>
      <c r="T285" s="99"/>
    </row>
    <row r="286" spans="1:20" hidden="1" x14ac:dyDescent="0.25">
      <c r="A286" s="101"/>
      <c r="B286" s="6"/>
      <c r="C286" s="6"/>
      <c r="D286" s="104"/>
      <c r="E286" s="11"/>
      <c r="F286" s="80"/>
      <c r="G286" s="11"/>
      <c r="H286" s="80"/>
      <c r="I286" s="80"/>
      <c r="J286" s="10"/>
      <c r="K286" s="10"/>
      <c r="L286" s="99"/>
      <c r="M286" s="10"/>
      <c r="N286" s="80"/>
      <c r="O286" s="80"/>
      <c r="P286" s="99"/>
      <c r="Q286" s="4"/>
      <c r="R286" s="11"/>
      <c r="S286" s="4"/>
      <c r="T286" s="99"/>
    </row>
    <row r="287" spans="1:20" hidden="1" x14ac:dyDescent="0.25">
      <c r="A287" s="101"/>
      <c r="B287" s="6"/>
      <c r="C287" s="6"/>
      <c r="D287" s="104"/>
      <c r="E287" s="11"/>
      <c r="F287" s="80"/>
      <c r="G287" s="11"/>
      <c r="H287" s="80"/>
      <c r="I287" s="80"/>
      <c r="J287" s="10"/>
      <c r="K287" s="10"/>
      <c r="L287" s="99"/>
      <c r="M287" s="10"/>
      <c r="N287" s="80"/>
      <c r="O287" s="80"/>
      <c r="P287" s="99"/>
      <c r="Q287" s="4"/>
      <c r="R287" s="11"/>
      <c r="S287" s="4"/>
      <c r="T287" s="99"/>
    </row>
    <row r="288" spans="1:20" hidden="1" x14ac:dyDescent="0.25">
      <c r="A288" s="101"/>
      <c r="B288" s="6"/>
      <c r="C288" s="6"/>
      <c r="D288" s="104"/>
      <c r="E288" s="11"/>
      <c r="F288" s="80"/>
      <c r="G288" s="11"/>
      <c r="H288" s="80"/>
      <c r="I288" s="80"/>
      <c r="J288" s="10"/>
      <c r="K288" s="10"/>
      <c r="L288" s="99"/>
      <c r="M288" s="10"/>
      <c r="N288" s="80"/>
      <c r="O288" s="80"/>
      <c r="P288" s="99"/>
      <c r="Q288" s="4"/>
      <c r="R288" s="11"/>
      <c r="S288" s="4"/>
      <c r="T288" s="99"/>
    </row>
    <row r="289" spans="1:23" hidden="1" x14ac:dyDescent="0.25">
      <c r="A289" s="101"/>
      <c r="B289" s="6"/>
      <c r="C289" s="6"/>
      <c r="D289" s="104"/>
      <c r="E289" s="11"/>
      <c r="F289" s="80"/>
      <c r="G289" s="11"/>
      <c r="H289" s="80"/>
      <c r="I289" s="80"/>
      <c r="J289" s="10"/>
      <c r="K289" s="10"/>
      <c r="L289" s="99"/>
      <c r="M289" s="10"/>
      <c r="N289" s="80"/>
      <c r="O289" s="80"/>
      <c r="P289" s="99"/>
      <c r="Q289" s="4"/>
      <c r="R289" s="11"/>
      <c r="S289" s="4"/>
      <c r="T289" s="99"/>
    </row>
    <row r="290" spans="1:23" hidden="1" x14ac:dyDescent="0.25">
      <c r="A290" s="101"/>
      <c r="B290" s="6"/>
      <c r="C290" s="6"/>
      <c r="D290" s="104"/>
      <c r="E290" s="11"/>
      <c r="F290" s="80"/>
      <c r="G290" s="11"/>
      <c r="H290" s="80"/>
      <c r="I290" s="80"/>
      <c r="J290" s="10"/>
      <c r="K290" s="10"/>
      <c r="L290" s="99"/>
      <c r="M290" s="10"/>
      <c r="N290" s="80"/>
      <c r="O290" s="80"/>
      <c r="P290" s="99"/>
      <c r="Q290" s="4"/>
      <c r="R290" s="11"/>
      <c r="S290" s="4"/>
      <c r="T290" s="99"/>
    </row>
    <row r="291" spans="1:23" hidden="1" x14ac:dyDescent="0.25">
      <c r="A291" s="101"/>
      <c r="B291" s="6"/>
      <c r="C291" s="6"/>
      <c r="D291" s="104"/>
      <c r="E291" s="11"/>
      <c r="F291" s="80"/>
      <c r="G291" s="11"/>
      <c r="H291" s="80"/>
      <c r="I291" s="80"/>
      <c r="J291" s="10"/>
      <c r="K291" s="10"/>
      <c r="L291" s="99"/>
      <c r="M291" s="10"/>
      <c r="N291" s="80"/>
      <c r="O291" s="80"/>
      <c r="P291" s="99"/>
      <c r="Q291" s="4"/>
      <c r="R291" s="11"/>
      <c r="S291" s="4"/>
      <c r="T291" s="99"/>
    </row>
    <row r="292" spans="1:23" hidden="1" x14ac:dyDescent="0.25">
      <c r="A292" s="101"/>
      <c r="B292" s="6"/>
      <c r="C292" s="6"/>
      <c r="D292" s="104"/>
      <c r="E292" s="11"/>
      <c r="F292" s="80"/>
      <c r="G292" s="11"/>
      <c r="H292" s="80"/>
      <c r="I292" s="80"/>
      <c r="J292" s="10"/>
      <c r="K292" s="10"/>
      <c r="L292" s="99"/>
      <c r="M292" s="10"/>
      <c r="N292" s="80"/>
      <c r="O292" s="80"/>
      <c r="P292" s="99"/>
      <c r="Q292" s="4"/>
      <c r="R292" s="11"/>
      <c r="S292" s="4"/>
      <c r="T292" s="99"/>
    </row>
    <row r="293" spans="1:23" hidden="1" x14ac:dyDescent="0.25">
      <c r="A293" s="101"/>
      <c r="B293" s="6"/>
      <c r="C293" s="6"/>
      <c r="D293" s="104"/>
      <c r="E293" s="11"/>
      <c r="F293" s="80"/>
      <c r="G293" s="11"/>
      <c r="H293" s="80"/>
      <c r="I293" s="80"/>
      <c r="J293" s="10"/>
      <c r="K293" s="10"/>
      <c r="L293" s="99"/>
      <c r="M293" s="10"/>
      <c r="N293" s="80"/>
      <c r="O293" s="80"/>
      <c r="P293" s="99"/>
      <c r="Q293" s="4"/>
      <c r="R293" s="11"/>
      <c r="S293" s="4"/>
      <c r="T293" s="99"/>
    </row>
    <row r="294" spans="1:23" hidden="1" x14ac:dyDescent="0.25">
      <c r="A294" s="101"/>
      <c r="B294" s="6"/>
      <c r="C294" s="6"/>
      <c r="D294" s="104"/>
      <c r="E294" s="11"/>
      <c r="F294" s="80"/>
      <c r="G294" s="11"/>
      <c r="H294" s="80"/>
      <c r="I294" s="80"/>
      <c r="J294" s="10"/>
      <c r="K294" s="10"/>
      <c r="L294" s="99"/>
      <c r="M294" s="10"/>
      <c r="N294" s="80"/>
      <c r="O294" s="80"/>
      <c r="P294" s="99"/>
      <c r="Q294" s="4"/>
      <c r="R294" s="11"/>
      <c r="S294" s="4"/>
      <c r="T294" s="99"/>
    </row>
    <row r="295" spans="1:23" hidden="1" x14ac:dyDescent="0.25">
      <c r="A295" s="101"/>
      <c r="B295" s="6"/>
      <c r="C295" s="6"/>
      <c r="D295" s="104"/>
      <c r="E295" s="11"/>
      <c r="F295" s="80"/>
      <c r="G295" s="11"/>
      <c r="H295" s="80"/>
      <c r="I295" s="80"/>
      <c r="J295" s="10"/>
      <c r="K295" s="10"/>
      <c r="L295" s="99"/>
      <c r="M295" s="10"/>
      <c r="N295" s="80"/>
      <c r="O295" s="80"/>
      <c r="P295" s="99"/>
      <c r="Q295" s="4"/>
      <c r="R295" s="11"/>
      <c r="S295" s="4"/>
      <c r="T295" s="99"/>
    </row>
    <row r="296" spans="1:23" hidden="1" x14ac:dyDescent="0.25">
      <c r="A296" s="101"/>
      <c r="B296" s="6"/>
      <c r="C296" s="6"/>
      <c r="D296" s="104"/>
      <c r="E296" s="11"/>
      <c r="F296" s="80"/>
      <c r="G296" s="11"/>
      <c r="H296" s="80"/>
      <c r="I296" s="80"/>
      <c r="J296" s="10"/>
      <c r="K296" s="10"/>
      <c r="L296" s="99"/>
      <c r="M296" s="10"/>
      <c r="N296" s="80"/>
      <c r="O296" s="80"/>
      <c r="P296" s="99"/>
      <c r="Q296" s="4"/>
      <c r="R296" s="11"/>
      <c r="S296" s="4"/>
      <c r="T296" s="99"/>
    </row>
    <row r="297" spans="1:23" hidden="1" x14ac:dyDescent="0.25">
      <c r="A297" s="101"/>
      <c r="B297" s="6"/>
      <c r="C297" s="6"/>
      <c r="D297" s="104"/>
      <c r="E297" s="11"/>
      <c r="F297" s="80"/>
      <c r="G297" s="11"/>
      <c r="H297" s="80"/>
      <c r="I297" s="80"/>
      <c r="J297" s="10"/>
      <c r="K297" s="10"/>
      <c r="L297" s="99"/>
      <c r="M297" s="10"/>
      <c r="N297" s="80"/>
      <c r="O297" s="80"/>
      <c r="P297" s="99"/>
      <c r="Q297" s="4"/>
      <c r="R297" s="11"/>
      <c r="S297" s="4"/>
      <c r="T297" s="99"/>
    </row>
    <row r="298" spans="1:23" hidden="1" x14ac:dyDescent="0.25">
      <c r="A298" s="101"/>
      <c r="B298" s="6"/>
      <c r="C298" s="6"/>
      <c r="D298" s="104"/>
      <c r="E298" s="11"/>
      <c r="F298" s="80"/>
      <c r="G298" s="11"/>
      <c r="H298" s="80"/>
      <c r="I298" s="80"/>
      <c r="J298" s="10"/>
      <c r="K298" s="10"/>
      <c r="L298" s="99"/>
      <c r="M298" s="10"/>
      <c r="N298" s="80"/>
      <c r="O298" s="80"/>
      <c r="P298" s="99"/>
      <c r="Q298" s="4"/>
      <c r="R298" s="11"/>
      <c r="S298" s="4"/>
      <c r="T298" s="99"/>
    </row>
    <row r="299" spans="1:23" s="9" customFormat="1" hidden="1" x14ac:dyDescent="0.25">
      <c r="A299" s="111"/>
      <c r="B299" s="7"/>
      <c r="C299" s="7"/>
      <c r="D299" s="106"/>
      <c r="E299" s="11"/>
      <c r="F299" s="80"/>
      <c r="G299" s="11"/>
      <c r="H299" s="80"/>
      <c r="I299" s="80"/>
      <c r="J299" s="10"/>
      <c r="K299" s="10"/>
      <c r="L299" s="80"/>
      <c r="M299" s="10"/>
      <c r="N299" s="80"/>
      <c r="O299" s="80"/>
      <c r="P299" s="80"/>
      <c r="Q299" s="4"/>
      <c r="R299" s="11"/>
      <c r="S299" s="10"/>
      <c r="T299" s="80"/>
      <c r="W299" s="251"/>
    </row>
    <row r="300" spans="1:23" s="9" customFormat="1" hidden="1" x14ac:dyDescent="0.25">
      <c r="A300" s="111"/>
      <c r="B300" s="7"/>
      <c r="C300" s="7"/>
      <c r="D300" s="106"/>
      <c r="E300" s="11"/>
      <c r="F300" s="80"/>
      <c r="G300" s="11"/>
      <c r="H300" s="80"/>
      <c r="I300" s="80"/>
      <c r="J300" s="10"/>
      <c r="K300" s="10"/>
      <c r="L300" s="80"/>
      <c r="M300" s="10"/>
      <c r="N300" s="80"/>
      <c r="O300" s="80"/>
      <c r="P300" s="80"/>
      <c r="Q300" s="4"/>
      <c r="R300" s="11"/>
      <c r="S300" s="10"/>
      <c r="T300" s="80"/>
      <c r="W300" s="251"/>
    </row>
    <row r="301" spans="1:23" s="9" customFormat="1" hidden="1" x14ac:dyDescent="0.25">
      <c r="A301" s="111"/>
      <c r="B301" s="7"/>
      <c r="C301" s="7"/>
      <c r="D301" s="106"/>
      <c r="E301" s="11"/>
      <c r="F301" s="80"/>
      <c r="G301" s="11"/>
      <c r="H301" s="80"/>
      <c r="I301" s="80"/>
      <c r="J301" s="10"/>
      <c r="K301" s="10"/>
      <c r="L301" s="80"/>
      <c r="M301" s="10"/>
      <c r="N301" s="80"/>
      <c r="O301" s="80"/>
      <c r="P301" s="80"/>
      <c r="Q301" s="4"/>
      <c r="R301" s="11"/>
      <c r="S301" s="10"/>
      <c r="T301" s="80"/>
      <c r="W301" s="251"/>
    </row>
    <row r="302" spans="1:23" s="9" customFormat="1" hidden="1" x14ac:dyDescent="0.25">
      <c r="A302" s="10"/>
      <c r="B302" s="7"/>
      <c r="C302" s="7"/>
      <c r="D302" s="106"/>
      <c r="E302" s="11"/>
      <c r="F302" s="84"/>
      <c r="G302" s="11"/>
      <c r="H302" s="84"/>
      <c r="I302" s="80"/>
      <c r="J302" s="84"/>
      <c r="K302" s="84"/>
      <c r="L302" s="80"/>
      <c r="M302" s="84"/>
      <c r="N302" s="84"/>
      <c r="O302" s="84"/>
      <c r="P302" s="80"/>
      <c r="Q302" s="4"/>
      <c r="R302" s="11"/>
      <c r="S302" s="84"/>
      <c r="T302" s="80"/>
      <c r="W302" s="251"/>
    </row>
    <row r="303" spans="1:23" s="9" customFormat="1" hidden="1" x14ac:dyDescent="0.25">
      <c r="A303" s="10"/>
      <c r="B303" s="7"/>
      <c r="C303" s="7"/>
      <c r="D303" s="106"/>
      <c r="E303" s="11"/>
      <c r="F303" s="84"/>
      <c r="G303" s="11"/>
      <c r="H303" s="84"/>
      <c r="I303" s="80"/>
      <c r="J303" s="84"/>
      <c r="K303" s="84"/>
      <c r="L303" s="80"/>
      <c r="M303" s="84"/>
      <c r="N303" s="84"/>
      <c r="O303" s="84"/>
      <c r="P303" s="80"/>
      <c r="Q303" s="4"/>
      <c r="R303" s="11"/>
      <c r="S303" s="84"/>
      <c r="T303" s="80"/>
      <c r="W303" s="251"/>
    </row>
    <row r="304" spans="1:23" s="9" customFormat="1" hidden="1" x14ac:dyDescent="0.25">
      <c r="A304" s="10"/>
      <c r="B304" s="7"/>
      <c r="C304" s="7"/>
      <c r="D304" s="106"/>
      <c r="E304" s="11"/>
      <c r="F304" s="10"/>
      <c r="G304" s="11"/>
      <c r="H304" s="10"/>
      <c r="I304" s="80"/>
      <c r="J304" s="84"/>
      <c r="K304" s="10"/>
      <c r="L304" s="80"/>
      <c r="M304" s="10"/>
      <c r="N304" s="84"/>
      <c r="O304" s="10"/>
      <c r="P304" s="80"/>
      <c r="Q304" s="4"/>
      <c r="R304" s="11"/>
      <c r="S304" s="10"/>
      <c r="T304" s="80"/>
      <c r="W304" s="251"/>
    </row>
    <row r="305" spans="1:23" s="9" customFormat="1" hidden="1" x14ac:dyDescent="0.25">
      <c r="A305" s="10"/>
      <c r="B305" s="7"/>
      <c r="C305" s="7"/>
      <c r="D305" s="106"/>
      <c r="E305" s="11"/>
      <c r="F305" s="10"/>
      <c r="G305" s="11"/>
      <c r="H305" s="10"/>
      <c r="I305" s="80"/>
      <c r="J305" s="10"/>
      <c r="K305" s="10"/>
      <c r="L305" s="80"/>
      <c r="M305" s="10"/>
      <c r="N305" s="10"/>
      <c r="O305" s="10"/>
      <c r="P305" s="80"/>
      <c r="Q305" s="4"/>
      <c r="R305" s="11"/>
      <c r="S305" s="10"/>
      <c r="T305" s="80"/>
      <c r="W305" s="251"/>
    </row>
    <row r="306" spans="1:23" s="9" customFormat="1" hidden="1" x14ac:dyDescent="0.25">
      <c r="A306" s="10"/>
      <c r="B306" s="7"/>
      <c r="C306" s="7"/>
      <c r="D306" s="106"/>
      <c r="E306" s="11"/>
      <c r="F306" s="10"/>
      <c r="G306" s="11"/>
      <c r="H306" s="10"/>
      <c r="I306" s="80"/>
      <c r="J306" s="10"/>
      <c r="K306" s="10"/>
      <c r="L306" s="80"/>
      <c r="M306" s="10"/>
      <c r="N306" s="10"/>
      <c r="O306" s="10"/>
      <c r="P306" s="80"/>
      <c r="Q306" s="4"/>
      <c r="R306" s="11"/>
      <c r="S306" s="10"/>
      <c r="T306" s="80"/>
      <c r="W306" s="251"/>
    </row>
    <row r="307" spans="1:23" hidden="1" x14ac:dyDescent="0.25">
      <c r="A307" s="101"/>
      <c r="B307" s="6"/>
      <c r="C307" s="6"/>
      <c r="D307" s="104"/>
      <c r="E307" s="11"/>
      <c r="F307" s="80"/>
      <c r="G307" s="11"/>
      <c r="H307" s="80"/>
      <c r="I307" s="80"/>
      <c r="J307" s="10"/>
      <c r="K307" s="10"/>
      <c r="L307" s="99"/>
      <c r="M307" s="10"/>
      <c r="N307" s="80"/>
      <c r="O307" s="80"/>
      <c r="P307" s="99"/>
      <c r="Q307" s="4"/>
      <c r="R307" s="11"/>
      <c r="S307" s="4"/>
      <c r="T307" s="99"/>
    </row>
    <row r="308" spans="1:23" hidden="1" x14ac:dyDescent="0.25">
      <c r="A308" s="101"/>
      <c r="B308" s="6"/>
      <c r="C308" s="6"/>
      <c r="D308" s="104"/>
      <c r="E308" s="11"/>
      <c r="F308" s="80"/>
      <c r="G308" s="11"/>
      <c r="H308" s="80"/>
      <c r="I308" s="80"/>
      <c r="J308" s="10"/>
      <c r="K308" s="10"/>
      <c r="L308" s="99"/>
      <c r="M308" s="10"/>
      <c r="N308" s="80"/>
      <c r="O308" s="80"/>
      <c r="P308" s="99"/>
      <c r="Q308" s="4"/>
      <c r="R308" s="11"/>
      <c r="S308" s="4"/>
      <c r="T308" s="99"/>
    </row>
    <row r="309" spans="1:23" hidden="1" x14ac:dyDescent="0.25">
      <c r="A309" s="101"/>
      <c r="B309" s="6"/>
      <c r="C309" s="6"/>
      <c r="D309" s="104"/>
      <c r="E309" s="11"/>
      <c r="F309" s="80"/>
      <c r="G309" s="11"/>
      <c r="H309" s="80"/>
      <c r="I309" s="80"/>
      <c r="J309" s="10"/>
      <c r="K309" s="10"/>
      <c r="L309" s="99"/>
      <c r="M309" s="10"/>
      <c r="N309" s="80"/>
      <c r="O309" s="80"/>
      <c r="P309" s="99"/>
      <c r="Q309" s="4"/>
      <c r="R309" s="11"/>
      <c r="S309" s="4"/>
      <c r="T309" s="99"/>
    </row>
    <row r="310" spans="1:23" hidden="1" x14ac:dyDescent="0.25">
      <c r="A310" s="101"/>
      <c r="B310" s="6"/>
      <c r="C310" s="6"/>
      <c r="D310" s="104"/>
      <c r="E310" s="11"/>
      <c r="F310" s="80"/>
      <c r="G310" s="11"/>
      <c r="H310" s="80"/>
      <c r="I310" s="80"/>
      <c r="J310" s="10"/>
      <c r="K310" s="10"/>
      <c r="L310" s="99"/>
      <c r="M310" s="10"/>
      <c r="N310" s="80"/>
      <c r="O310" s="80"/>
      <c r="P310" s="99"/>
      <c r="Q310" s="4"/>
      <c r="R310" s="11"/>
      <c r="S310" s="4"/>
      <c r="T310" s="99"/>
    </row>
    <row r="311" spans="1:23" hidden="1" x14ac:dyDescent="0.25">
      <c r="A311" s="101"/>
      <c r="B311" s="6"/>
      <c r="C311" s="6"/>
      <c r="D311" s="104"/>
      <c r="E311" s="11"/>
      <c r="F311" s="80"/>
      <c r="G311" s="11"/>
      <c r="H311" s="80"/>
      <c r="I311" s="80"/>
      <c r="J311" s="10"/>
      <c r="K311" s="10"/>
      <c r="L311" s="99"/>
      <c r="M311" s="10"/>
      <c r="N311" s="80"/>
      <c r="O311" s="80"/>
      <c r="P311" s="99"/>
      <c r="Q311" s="4"/>
      <c r="R311" s="11"/>
      <c r="S311" s="4"/>
      <c r="T311" s="99"/>
    </row>
    <row r="312" spans="1:23" hidden="1" x14ac:dyDescent="0.25">
      <c r="A312" s="101"/>
      <c r="B312" s="6"/>
      <c r="C312" s="6"/>
      <c r="D312" s="104"/>
      <c r="E312" s="11"/>
      <c r="F312" s="80"/>
      <c r="G312" s="11"/>
      <c r="H312" s="80"/>
      <c r="I312" s="80"/>
      <c r="J312" s="10"/>
      <c r="K312" s="10"/>
      <c r="L312" s="99"/>
      <c r="M312" s="10"/>
      <c r="N312" s="80"/>
      <c r="O312" s="80"/>
      <c r="P312" s="99"/>
      <c r="Q312" s="4"/>
      <c r="R312" s="11"/>
      <c r="S312" s="4"/>
      <c r="T312" s="99"/>
    </row>
    <row r="313" spans="1:23" hidden="1" x14ac:dyDescent="0.25">
      <c r="A313" s="101"/>
      <c r="B313" s="6"/>
      <c r="C313" s="6"/>
      <c r="D313" s="104"/>
      <c r="E313" s="11"/>
      <c r="F313" s="80"/>
      <c r="G313" s="11"/>
      <c r="H313" s="80"/>
      <c r="I313" s="80"/>
      <c r="J313" s="10"/>
      <c r="K313" s="10"/>
      <c r="L313" s="99"/>
      <c r="M313" s="10"/>
      <c r="N313" s="80"/>
      <c r="O313" s="80"/>
      <c r="P313" s="99"/>
      <c r="Q313" s="4"/>
      <c r="R313" s="11"/>
      <c r="S313" s="4"/>
      <c r="T313" s="99"/>
    </row>
    <row r="314" spans="1:23" hidden="1" x14ac:dyDescent="0.25">
      <c r="A314" s="101"/>
      <c r="B314" s="6"/>
      <c r="C314" s="6"/>
      <c r="D314" s="104"/>
      <c r="E314" s="11"/>
      <c r="F314" s="80"/>
      <c r="G314" s="11"/>
      <c r="H314" s="80"/>
      <c r="I314" s="80"/>
      <c r="J314" s="10"/>
      <c r="K314" s="10"/>
      <c r="L314" s="99"/>
      <c r="M314" s="10"/>
      <c r="N314" s="80"/>
      <c r="O314" s="80"/>
      <c r="P314" s="99"/>
      <c r="Q314" s="4"/>
      <c r="R314" s="11"/>
      <c r="S314" s="4"/>
      <c r="T314" s="99"/>
    </row>
    <row r="315" spans="1:23" hidden="1" x14ac:dyDescent="0.25">
      <c r="A315" s="101"/>
      <c r="B315" s="6"/>
      <c r="C315" s="6"/>
      <c r="D315" s="104"/>
      <c r="E315" s="11"/>
      <c r="F315" s="80"/>
      <c r="G315" s="11"/>
      <c r="H315" s="80"/>
      <c r="I315" s="80"/>
      <c r="J315" s="10"/>
      <c r="K315" s="10"/>
      <c r="L315" s="99"/>
      <c r="M315" s="10"/>
      <c r="N315" s="80"/>
      <c r="O315" s="80"/>
      <c r="P315" s="99"/>
      <c r="Q315" s="4"/>
      <c r="R315" s="11"/>
      <c r="S315" s="4"/>
      <c r="T315" s="99"/>
    </row>
    <row r="316" spans="1:23" hidden="1" x14ac:dyDescent="0.25">
      <c r="A316" s="101"/>
      <c r="B316" s="6"/>
      <c r="C316" s="6"/>
      <c r="D316" s="104"/>
      <c r="E316" s="11"/>
      <c r="F316" s="80"/>
      <c r="G316" s="11"/>
      <c r="H316" s="80"/>
      <c r="I316" s="80"/>
      <c r="J316" s="10"/>
      <c r="K316" s="10"/>
      <c r="L316" s="99"/>
      <c r="M316" s="10"/>
      <c r="N316" s="80"/>
      <c r="O316" s="80"/>
      <c r="P316" s="99"/>
      <c r="Q316" s="4"/>
      <c r="R316" s="11"/>
      <c r="S316" s="4"/>
      <c r="T316" s="99"/>
    </row>
    <row r="317" spans="1:23" hidden="1" x14ac:dyDescent="0.25">
      <c r="A317" s="101"/>
      <c r="B317" s="6"/>
      <c r="C317" s="6"/>
      <c r="D317" s="104"/>
      <c r="E317" s="11"/>
      <c r="F317" s="80"/>
      <c r="G317" s="11"/>
      <c r="H317" s="80"/>
      <c r="I317" s="80"/>
      <c r="J317" s="10"/>
      <c r="K317" s="10"/>
      <c r="L317" s="99"/>
      <c r="M317" s="10"/>
      <c r="N317" s="80"/>
      <c r="O317" s="80"/>
      <c r="P317" s="99"/>
      <c r="Q317" s="4"/>
      <c r="R317" s="11"/>
      <c r="S317" s="4"/>
      <c r="T317" s="99"/>
    </row>
    <row r="318" spans="1:23" hidden="1" x14ac:dyDescent="0.25">
      <c r="A318" s="101"/>
      <c r="B318" s="6"/>
      <c r="C318" s="6"/>
      <c r="D318" s="104"/>
      <c r="E318" s="11"/>
      <c r="F318" s="80"/>
      <c r="G318" s="11"/>
      <c r="H318" s="80"/>
      <c r="I318" s="80"/>
      <c r="J318" s="10"/>
      <c r="K318" s="10"/>
      <c r="L318" s="99"/>
      <c r="M318" s="10"/>
      <c r="N318" s="80"/>
      <c r="O318" s="80"/>
      <c r="P318" s="99"/>
      <c r="Q318" s="4"/>
      <c r="R318" s="11"/>
      <c r="S318" s="4"/>
      <c r="T318" s="99"/>
    </row>
    <row r="319" spans="1:23" hidden="1" x14ac:dyDescent="0.25">
      <c r="A319" s="101"/>
      <c r="B319" s="6"/>
      <c r="C319" s="6"/>
      <c r="D319" s="104"/>
      <c r="E319" s="11"/>
      <c r="F319" s="80"/>
      <c r="G319" s="11"/>
      <c r="H319" s="80"/>
      <c r="I319" s="80"/>
      <c r="J319" s="10"/>
      <c r="K319" s="10"/>
      <c r="L319" s="99"/>
      <c r="M319" s="10"/>
      <c r="N319" s="80"/>
      <c r="O319" s="80"/>
      <c r="P319" s="99"/>
      <c r="Q319" s="4"/>
      <c r="R319" s="11"/>
      <c r="S319" s="4"/>
      <c r="T319" s="99"/>
    </row>
    <row r="320" spans="1:23" hidden="1" x14ac:dyDescent="0.25">
      <c r="A320" s="101"/>
      <c r="B320" s="6"/>
      <c r="C320" s="6"/>
      <c r="D320" s="104"/>
      <c r="E320" s="11"/>
      <c r="F320" s="80"/>
      <c r="G320" s="11"/>
      <c r="H320" s="80"/>
      <c r="I320" s="80"/>
      <c r="J320" s="10"/>
      <c r="K320" s="10"/>
      <c r="L320" s="99"/>
      <c r="M320" s="10"/>
      <c r="N320" s="80"/>
      <c r="O320" s="80"/>
      <c r="P320" s="99"/>
      <c r="Q320" s="4"/>
      <c r="R320" s="11"/>
      <c r="S320" s="4"/>
      <c r="T320" s="99"/>
    </row>
    <row r="321" spans="1:20" hidden="1" x14ac:dyDescent="0.25">
      <c r="A321" s="101"/>
      <c r="B321" s="6"/>
      <c r="C321" s="6"/>
      <c r="D321" s="104"/>
      <c r="E321" s="11"/>
      <c r="F321" s="80"/>
      <c r="G321" s="11"/>
      <c r="H321" s="80"/>
      <c r="I321" s="80"/>
      <c r="J321" s="10"/>
      <c r="K321" s="10"/>
      <c r="L321" s="99"/>
      <c r="M321" s="10"/>
      <c r="N321" s="80"/>
      <c r="O321" s="80"/>
      <c r="P321" s="99"/>
      <c r="Q321" s="4"/>
      <c r="R321" s="11"/>
      <c r="S321" s="4"/>
      <c r="T321" s="99"/>
    </row>
    <row r="322" spans="1:20" hidden="1" x14ac:dyDescent="0.25">
      <c r="A322" s="101"/>
      <c r="B322" s="6"/>
      <c r="C322" s="6"/>
      <c r="D322" s="104"/>
      <c r="E322" s="11"/>
      <c r="F322" s="80"/>
      <c r="G322" s="11"/>
      <c r="H322" s="80"/>
      <c r="I322" s="80"/>
      <c r="J322" s="10"/>
      <c r="K322" s="10"/>
      <c r="L322" s="99"/>
      <c r="M322" s="10"/>
      <c r="N322" s="80"/>
      <c r="O322" s="80"/>
      <c r="P322" s="99"/>
      <c r="Q322" s="4"/>
      <c r="R322" s="11"/>
      <c r="S322" s="4"/>
      <c r="T322" s="99"/>
    </row>
    <row r="323" spans="1:20" hidden="1" x14ac:dyDescent="0.25">
      <c r="A323" s="101"/>
      <c r="B323" s="6"/>
      <c r="C323" s="6"/>
      <c r="D323" s="104"/>
      <c r="E323" s="11"/>
      <c r="F323" s="80"/>
      <c r="G323" s="11"/>
      <c r="H323" s="80"/>
      <c r="I323" s="80"/>
      <c r="J323" s="10"/>
      <c r="K323" s="10"/>
      <c r="L323" s="99"/>
      <c r="M323" s="10"/>
      <c r="N323" s="80"/>
      <c r="O323" s="80"/>
      <c r="P323" s="99"/>
      <c r="Q323" s="4"/>
      <c r="R323" s="11"/>
      <c r="S323" s="4"/>
      <c r="T323" s="99"/>
    </row>
    <row r="324" spans="1:20" hidden="1" x14ac:dyDescent="0.25">
      <c r="A324" s="101"/>
      <c r="B324" s="6"/>
      <c r="C324" s="6"/>
      <c r="D324" s="104"/>
      <c r="E324" s="11"/>
      <c r="F324" s="80"/>
      <c r="G324" s="11"/>
      <c r="H324" s="80"/>
      <c r="I324" s="80"/>
      <c r="J324" s="10"/>
      <c r="K324" s="10"/>
      <c r="L324" s="99"/>
      <c r="M324" s="10"/>
      <c r="N324" s="80"/>
      <c r="O324" s="80"/>
      <c r="P324" s="99"/>
      <c r="Q324" s="4"/>
      <c r="R324" s="11"/>
      <c r="S324" s="4"/>
      <c r="T324" s="99"/>
    </row>
    <row r="325" spans="1:20" hidden="1" x14ac:dyDescent="0.25">
      <c r="A325" s="109"/>
      <c r="B325" s="6"/>
      <c r="C325" s="6"/>
      <c r="D325" s="104"/>
      <c r="E325" s="11"/>
      <c r="F325" s="5"/>
      <c r="G325" s="80"/>
      <c r="H325" s="5"/>
      <c r="I325" s="80"/>
      <c r="J325" s="5"/>
      <c r="K325" s="10"/>
      <c r="L325" s="99"/>
      <c r="M325" s="10"/>
      <c r="N325" s="80"/>
      <c r="O325" s="80"/>
      <c r="P325" s="99"/>
      <c r="Q325" s="4"/>
      <c r="R325" s="99"/>
      <c r="S325" s="4"/>
      <c r="T325" s="99"/>
    </row>
    <row r="326" spans="1:20" hidden="1" x14ac:dyDescent="0.25">
      <c r="A326" s="101"/>
      <c r="B326" s="6"/>
      <c r="C326" s="6"/>
      <c r="D326" s="104"/>
      <c r="E326" s="115"/>
      <c r="F326" s="85"/>
      <c r="G326" s="115"/>
      <c r="H326" s="80"/>
      <c r="I326" s="80"/>
      <c r="J326" s="10"/>
      <c r="K326" s="115"/>
      <c r="L326" s="99"/>
      <c r="M326" s="10"/>
      <c r="N326" s="80"/>
      <c r="O326" s="80"/>
      <c r="P326" s="99"/>
      <c r="Q326" s="4"/>
      <c r="R326" s="99"/>
      <c r="S326" s="4"/>
      <c r="T326" s="99"/>
    </row>
    <row r="327" spans="1:20" hidden="1" x14ac:dyDescent="0.25">
      <c r="A327" s="101"/>
      <c r="B327" s="6"/>
      <c r="C327" s="6"/>
      <c r="D327" s="104"/>
      <c r="E327" s="115"/>
      <c r="F327" s="85"/>
      <c r="G327" s="115"/>
      <c r="H327" s="80"/>
      <c r="I327" s="80"/>
      <c r="J327" s="10"/>
      <c r="K327" s="115"/>
      <c r="L327" s="99"/>
      <c r="M327" s="10"/>
      <c r="N327" s="80"/>
      <c r="O327" s="80"/>
      <c r="P327" s="99"/>
      <c r="Q327" s="4"/>
      <c r="R327" s="99"/>
      <c r="S327" s="4"/>
      <c r="T327" s="99"/>
    </row>
    <row r="328" spans="1:20" hidden="1" x14ac:dyDescent="0.25">
      <c r="A328" s="101"/>
      <c r="B328" s="6"/>
      <c r="C328" s="6"/>
      <c r="D328" s="107"/>
      <c r="E328" s="11"/>
      <c r="F328" s="80"/>
      <c r="G328" s="80"/>
      <c r="H328" s="80"/>
      <c r="I328" s="80"/>
      <c r="J328" s="10"/>
      <c r="K328" s="10"/>
      <c r="L328" s="99"/>
      <c r="M328" s="4"/>
      <c r="N328" s="80"/>
      <c r="O328" s="80"/>
      <c r="P328" s="99"/>
      <c r="Q328" s="4"/>
      <c r="R328" s="99"/>
      <c r="S328" s="4"/>
      <c r="T328" s="99"/>
    </row>
    <row r="329" spans="1:20" hidden="1" x14ac:dyDescent="0.25">
      <c r="A329" s="101"/>
      <c r="B329" s="103"/>
      <c r="C329" s="6"/>
      <c r="D329" s="116"/>
      <c r="E329" s="11"/>
      <c r="F329" s="80"/>
      <c r="G329" s="80"/>
      <c r="H329" s="80"/>
      <c r="I329" s="80"/>
      <c r="J329" s="10"/>
      <c r="K329" s="10"/>
      <c r="L329" s="99"/>
      <c r="M329" s="4"/>
      <c r="N329" s="80"/>
      <c r="O329" s="80"/>
      <c r="P329" s="99"/>
      <c r="Q329" s="4"/>
      <c r="R329" s="99"/>
      <c r="S329" s="4"/>
      <c r="T329" s="99"/>
    </row>
    <row r="330" spans="1:20" hidden="1" x14ac:dyDescent="0.25">
      <c r="A330" s="101"/>
      <c r="B330" s="103"/>
      <c r="C330" s="6"/>
      <c r="D330" s="116"/>
      <c r="E330" s="11"/>
      <c r="F330" s="80"/>
      <c r="G330" s="80"/>
      <c r="H330" s="80"/>
      <c r="I330" s="80"/>
      <c r="J330" s="10"/>
      <c r="K330" s="10"/>
      <c r="L330" s="99"/>
      <c r="M330" s="4"/>
      <c r="N330" s="80"/>
      <c r="O330" s="80"/>
      <c r="P330" s="99"/>
      <c r="Q330" s="4"/>
      <c r="R330" s="80"/>
      <c r="S330" s="10"/>
      <c r="T330" s="99"/>
    </row>
    <row r="331" spans="1:20" hidden="1" x14ac:dyDescent="0.25">
      <c r="A331" s="4"/>
      <c r="B331" s="103"/>
      <c r="C331" s="6"/>
      <c r="D331" s="116"/>
      <c r="E331" s="11"/>
      <c r="F331" s="80"/>
      <c r="G331" s="80"/>
      <c r="H331" s="80"/>
      <c r="I331" s="80"/>
      <c r="J331" s="10"/>
      <c r="K331" s="10"/>
      <c r="L331" s="99"/>
      <c r="M331" s="4"/>
      <c r="N331" s="80"/>
      <c r="O331" s="80"/>
      <c r="P331" s="99"/>
      <c r="Q331" s="4"/>
      <c r="R331" s="80"/>
      <c r="S331" s="10"/>
      <c r="T331" s="99"/>
    </row>
    <row r="332" spans="1:20" hidden="1" x14ac:dyDescent="0.25">
      <c r="A332" s="4"/>
      <c r="B332" s="103"/>
      <c r="C332" s="6"/>
      <c r="D332" s="116"/>
      <c r="E332" s="11"/>
      <c r="F332" s="80"/>
      <c r="G332" s="80"/>
      <c r="H332" s="80"/>
      <c r="I332" s="80"/>
      <c r="J332" s="10"/>
      <c r="K332" s="10"/>
      <c r="L332" s="99"/>
      <c r="M332" s="4"/>
      <c r="N332" s="80"/>
      <c r="O332" s="80"/>
      <c r="P332" s="99"/>
      <c r="Q332" s="4"/>
      <c r="R332" s="80"/>
      <c r="S332" s="10"/>
      <c r="T332" s="99"/>
    </row>
    <row r="333" spans="1:20" hidden="1" x14ac:dyDescent="0.25">
      <c r="A333" s="101"/>
      <c r="B333" s="103"/>
      <c r="C333" s="6"/>
      <c r="D333" s="116"/>
      <c r="E333" s="11"/>
      <c r="F333" s="80"/>
      <c r="G333" s="80"/>
      <c r="H333" s="80"/>
      <c r="I333" s="80"/>
      <c r="J333" s="10"/>
      <c r="K333" s="10"/>
      <c r="L333" s="99"/>
      <c r="M333" s="4"/>
      <c r="N333" s="80"/>
      <c r="O333" s="80"/>
      <c r="P333" s="99"/>
      <c r="Q333" s="4"/>
      <c r="R333" s="99"/>
      <c r="S333" s="4"/>
      <c r="T333" s="99"/>
    </row>
    <row r="334" spans="1:20" hidden="1" x14ac:dyDescent="0.25">
      <c r="A334" s="101"/>
      <c r="B334" s="103"/>
      <c r="C334" s="6"/>
      <c r="D334" s="116"/>
      <c r="E334" s="11"/>
      <c r="F334" s="80"/>
      <c r="G334" s="80"/>
      <c r="H334" s="80"/>
      <c r="I334" s="80"/>
      <c r="J334" s="10"/>
      <c r="K334" s="10"/>
      <c r="L334" s="99"/>
      <c r="M334" s="4"/>
      <c r="N334" s="80"/>
      <c r="O334" s="80"/>
      <c r="P334" s="99"/>
      <c r="Q334" s="4"/>
      <c r="R334" s="99"/>
      <c r="S334" s="4"/>
      <c r="T334" s="99"/>
    </row>
    <row r="335" spans="1:20" hidden="1" x14ac:dyDescent="0.25">
      <c r="A335" s="101"/>
      <c r="B335" s="103"/>
      <c r="C335" s="6"/>
      <c r="D335" s="116"/>
      <c r="E335" s="11"/>
      <c r="F335" s="80"/>
      <c r="G335" s="80"/>
      <c r="H335" s="80"/>
      <c r="I335" s="80"/>
      <c r="J335" s="10"/>
      <c r="K335" s="10"/>
      <c r="L335" s="99"/>
      <c r="M335" s="4"/>
      <c r="N335" s="80"/>
      <c r="O335" s="80"/>
      <c r="P335" s="99"/>
      <c r="Q335" s="4"/>
      <c r="R335" s="99"/>
      <c r="S335" s="4"/>
      <c r="T335" s="99"/>
    </row>
    <row r="336" spans="1:20" hidden="1" x14ac:dyDescent="0.25">
      <c r="A336" s="101"/>
      <c r="B336" s="103"/>
      <c r="C336" s="6"/>
      <c r="D336" s="116"/>
      <c r="E336" s="11"/>
      <c r="F336" s="80"/>
      <c r="G336" s="80"/>
      <c r="H336" s="80"/>
      <c r="I336" s="80"/>
      <c r="J336" s="10"/>
      <c r="K336" s="10"/>
      <c r="L336" s="99"/>
      <c r="M336" s="4"/>
      <c r="N336" s="80"/>
      <c r="O336" s="80"/>
      <c r="P336" s="99"/>
      <c r="Q336" s="4"/>
      <c r="R336" s="99"/>
      <c r="S336" s="4"/>
      <c r="T336" s="99"/>
    </row>
    <row r="337" spans="1:20" hidden="1" x14ac:dyDescent="0.25">
      <c r="A337" s="101"/>
      <c r="B337" s="103"/>
      <c r="C337" s="6"/>
      <c r="D337" s="116"/>
      <c r="E337" s="11"/>
      <c r="F337" s="80"/>
      <c r="G337" s="80"/>
      <c r="H337" s="80"/>
      <c r="I337" s="80"/>
      <c r="J337" s="10"/>
      <c r="K337" s="10"/>
      <c r="L337" s="99"/>
      <c r="M337" s="4"/>
      <c r="N337" s="80"/>
      <c r="O337" s="80"/>
      <c r="P337" s="99"/>
      <c r="Q337" s="4"/>
      <c r="R337" s="99"/>
      <c r="S337" s="4"/>
      <c r="T337" s="99"/>
    </row>
    <row r="338" spans="1:20" hidden="1" x14ac:dyDescent="0.25">
      <c r="A338" s="101"/>
      <c r="B338" s="103"/>
      <c r="C338" s="6"/>
      <c r="D338" s="116"/>
      <c r="E338" s="11"/>
      <c r="F338" s="80"/>
      <c r="G338" s="80"/>
      <c r="H338" s="80"/>
      <c r="I338" s="80"/>
      <c r="J338" s="10"/>
      <c r="K338" s="10"/>
      <c r="L338" s="99"/>
      <c r="M338" s="4"/>
      <c r="N338" s="80"/>
      <c r="O338" s="80"/>
      <c r="P338" s="99"/>
      <c r="Q338" s="4"/>
      <c r="R338" s="99"/>
      <c r="S338" s="4"/>
      <c r="T338" s="99"/>
    </row>
    <row r="339" spans="1:20" hidden="1" x14ac:dyDescent="0.25">
      <c r="A339" s="101"/>
      <c r="B339" s="103"/>
      <c r="C339" s="6"/>
      <c r="D339" s="116"/>
      <c r="E339" s="11"/>
      <c r="F339" s="80"/>
      <c r="G339" s="80"/>
      <c r="H339" s="80"/>
      <c r="I339" s="80"/>
      <c r="J339" s="10"/>
      <c r="K339" s="10"/>
      <c r="L339" s="99"/>
      <c r="M339" s="4"/>
      <c r="N339" s="80"/>
      <c r="O339" s="80"/>
      <c r="P339" s="99"/>
      <c r="Q339" s="4"/>
      <c r="R339" s="99"/>
      <c r="S339" s="4"/>
      <c r="T339" s="99"/>
    </row>
    <row r="340" spans="1:20" hidden="1" x14ac:dyDescent="0.25">
      <c r="A340" s="101"/>
      <c r="B340" s="103"/>
      <c r="C340" s="6"/>
      <c r="D340" s="116"/>
      <c r="E340" s="11"/>
      <c r="F340" s="80"/>
      <c r="G340" s="80"/>
      <c r="H340" s="80"/>
      <c r="I340" s="80"/>
      <c r="J340" s="10"/>
      <c r="K340" s="10"/>
      <c r="L340" s="99"/>
      <c r="M340" s="4"/>
      <c r="N340" s="80"/>
      <c r="O340" s="80"/>
      <c r="P340" s="99"/>
      <c r="Q340" s="4"/>
      <c r="R340" s="99"/>
      <c r="S340" s="4"/>
      <c r="T340" s="99"/>
    </row>
    <row r="341" spans="1:20" hidden="1" x14ac:dyDescent="0.25">
      <c r="A341" s="101"/>
      <c r="B341" s="103"/>
      <c r="C341" s="6"/>
      <c r="D341" s="116"/>
      <c r="E341" s="11"/>
      <c r="F341" s="80"/>
      <c r="G341" s="80"/>
      <c r="H341" s="80"/>
      <c r="I341" s="80"/>
      <c r="J341" s="10"/>
      <c r="K341" s="10"/>
      <c r="L341" s="99"/>
      <c r="M341" s="4"/>
      <c r="N341" s="80"/>
      <c r="O341" s="80"/>
      <c r="P341" s="99"/>
      <c r="Q341" s="4"/>
      <c r="R341" s="99"/>
      <c r="S341" s="4"/>
      <c r="T341" s="99"/>
    </row>
    <row r="342" spans="1:20" hidden="1" x14ac:dyDescent="0.25">
      <c r="A342" s="101"/>
      <c r="B342" s="103"/>
      <c r="C342" s="6"/>
      <c r="D342" s="116"/>
      <c r="E342" s="11"/>
      <c r="F342" s="80"/>
      <c r="G342" s="80"/>
      <c r="H342" s="80"/>
      <c r="I342" s="80"/>
      <c r="J342" s="10"/>
      <c r="K342" s="10"/>
      <c r="L342" s="99"/>
      <c r="M342" s="4"/>
      <c r="N342" s="80"/>
      <c r="O342" s="80"/>
      <c r="P342" s="99"/>
      <c r="Q342" s="4"/>
      <c r="R342" s="99"/>
      <c r="S342" s="4"/>
      <c r="T342" s="99"/>
    </row>
    <row r="343" spans="1:20" hidden="1" x14ac:dyDescent="0.25">
      <c r="A343" s="101"/>
      <c r="B343" s="103"/>
      <c r="C343" s="6"/>
      <c r="D343" s="116"/>
      <c r="E343" s="11"/>
      <c r="F343" s="80"/>
      <c r="G343" s="80"/>
      <c r="H343" s="80"/>
      <c r="I343" s="80"/>
      <c r="J343" s="10"/>
      <c r="K343" s="10"/>
      <c r="L343" s="99"/>
      <c r="M343" s="4"/>
      <c r="N343" s="80"/>
      <c r="O343" s="80"/>
      <c r="P343" s="99"/>
      <c r="Q343" s="4"/>
      <c r="R343" s="99"/>
      <c r="S343" s="4"/>
      <c r="T343" s="99"/>
    </row>
    <row r="344" spans="1:20" hidden="1" x14ac:dyDescent="0.25">
      <c r="A344" s="101"/>
      <c r="B344" s="103"/>
      <c r="C344" s="6"/>
      <c r="D344" s="116"/>
      <c r="E344" s="11"/>
      <c r="F344" s="80"/>
      <c r="G344" s="80"/>
      <c r="H344" s="80"/>
      <c r="I344" s="80"/>
      <c r="J344" s="10"/>
      <c r="K344" s="10"/>
      <c r="L344" s="99"/>
      <c r="M344" s="4"/>
      <c r="N344" s="80"/>
      <c r="O344" s="80"/>
      <c r="P344" s="99"/>
      <c r="Q344" s="4"/>
      <c r="R344" s="99"/>
      <c r="S344" s="4"/>
      <c r="T344" s="99"/>
    </row>
    <row r="345" spans="1:20" hidden="1" x14ac:dyDescent="0.25">
      <c r="A345" s="101"/>
      <c r="B345" s="103"/>
      <c r="C345" s="6"/>
      <c r="D345" s="116"/>
      <c r="E345" s="11"/>
      <c r="F345" s="80"/>
      <c r="G345" s="80"/>
      <c r="H345" s="80"/>
      <c r="I345" s="80"/>
      <c r="J345" s="10"/>
      <c r="K345" s="10"/>
      <c r="L345" s="99"/>
      <c r="M345" s="4"/>
      <c r="N345" s="80"/>
      <c r="O345" s="80"/>
      <c r="P345" s="99"/>
      <c r="Q345" s="4"/>
      <c r="R345" s="99"/>
      <c r="S345" s="4"/>
      <c r="T345" s="99"/>
    </row>
    <row r="346" spans="1:20" hidden="1" x14ac:dyDescent="0.25">
      <c r="A346" s="101"/>
      <c r="B346" s="103"/>
      <c r="C346" s="6"/>
      <c r="D346" s="116"/>
      <c r="E346" s="11"/>
      <c r="F346" s="80"/>
      <c r="G346" s="80"/>
      <c r="H346" s="80"/>
      <c r="I346" s="80"/>
      <c r="J346" s="10"/>
      <c r="K346" s="10"/>
      <c r="L346" s="99"/>
      <c r="M346" s="4"/>
      <c r="N346" s="80"/>
      <c r="O346" s="80"/>
      <c r="P346" s="99"/>
      <c r="Q346" s="4"/>
      <c r="R346" s="99"/>
      <c r="S346" s="4"/>
      <c r="T346" s="99"/>
    </row>
    <row r="347" spans="1:20" hidden="1" x14ac:dyDescent="0.25">
      <c r="A347" s="101"/>
      <c r="B347" s="103"/>
      <c r="C347" s="6"/>
      <c r="D347" s="116"/>
      <c r="E347" s="11"/>
      <c r="F347" s="80"/>
      <c r="G347" s="80"/>
      <c r="H347" s="80"/>
      <c r="I347" s="80"/>
      <c r="J347" s="10"/>
      <c r="K347" s="10"/>
      <c r="L347" s="99"/>
      <c r="M347" s="4"/>
      <c r="N347" s="80"/>
      <c r="O347" s="80"/>
      <c r="P347" s="99"/>
      <c r="Q347" s="4"/>
      <c r="R347" s="99"/>
      <c r="S347" s="4"/>
      <c r="T347" s="99"/>
    </row>
    <row r="348" spans="1:20" hidden="1" x14ac:dyDescent="0.25">
      <c r="A348" s="101"/>
      <c r="B348" s="103"/>
      <c r="C348" s="6"/>
      <c r="D348" s="116"/>
      <c r="E348" s="11"/>
      <c r="F348" s="80"/>
      <c r="G348" s="80"/>
      <c r="H348" s="80"/>
      <c r="I348" s="80"/>
      <c r="J348" s="10"/>
      <c r="K348" s="10"/>
      <c r="L348" s="99"/>
      <c r="M348" s="4"/>
      <c r="N348" s="80"/>
      <c r="O348" s="80"/>
      <c r="P348" s="99"/>
      <c r="Q348" s="4"/>
      <c r="R348" s="99"/>
      <c r="S348" s="4"/>
      <c r="T348" s="99"/>
    </row>
    <row r="349" spans="1:20" hidden="1" x14ac:dyDescent="0.25">
      <c r="A349" s="101"/>
      <c r="B349" s="103"/>
      <c r="C349" s="6"/>
      <c r="D349" s="116"/>
      <c r="E349" s="11"/>
      <c r="F349" s="80"/>
      <c r="G349" s="80"/>
      <c r="H349" s="80"/>
      <c r="I349" s="80"/>
      <c r="J349" s="10"/>
      <c r="K349" s="10"/>
      <c r="L349" s="99"/>
      <c r="M349" s="4"/>
      <c r="N349" s="80"/>
      <c r="O349" s="80"/>
      <c r="P349" s="99"/>
      <c r="Q349" s="4"/>
      <c r="R349" s="99"/>
      <c r="S349" s="4"/>
      <c r="T349" s="99"/>
    </row>
    <row r="350" spans="1:20" hidden="1" x14ac:dyDescent="0.25">
      <c r="A350" s="101"/>
      <c r="B350" s="103"/>
      <c r="C350" s="6"/>
      <c r="D350" s="116"/>
      <c r="E350" s="11"/>
      <c r="F350" s="80"/>
      <c r="G350" s="80"/>
      <c r="H350" s="80"/>
      <c r="I350" s="80"/>
      <c r="J350" s="10"/>
      <c r="K350" s="10"/>
      <c r="L350" s="99"/>
      <c r="M350" s="4"/>
      <c r="N350" s="80"/>
      <c r="O350" s="80"/>
      <c r="P350" s="99"/>
      <c r="Q350" s="4"/>
      <c r="R350" s="99"/>
      <c r="S350" s="4"/>
      <c r="T350" s="99"/>
    </row>
    <row r="351" spans="1:20" hidden="1" x14ac:dyDescent="0.25">
      <c r="A351" s="101"/>
      <c r="B351" s="103"/>
      <c r="C351" s="6"/>
      <c r="D351" s="116"/>
      <c r="E351" s="11"/>
      <c r="F351" s="80"/>
      <c r="G351" s="80"/>
      <c r="H351" s="80"/>
      <c r="I351" s="80"/>
      <c r="J351" s="10"/>
      <c r="K351" s="10"/>
      <c r="L351" s="99"/>
      <c r="M351" s="4"/>
      <c r="N351" s="80"/>
      <c r="O351" s="80"/>
      <c r="P351" s="99"/>
      <c r="Q351" s="4"/>
      <c r="R351" s="99"/>
      <c r="S351" s="4"/>
      <c r="T351" s="99"/>
    </row>
    <row r="352" spans="1:20" hidden="1" x14ac:dyDescent="0.25">
      <c r="A352" s="101"/>
      <c r="B352" s="103"/>
      <c r="C352" s="6"/>
      <c r="D352" s="116"/>
      <c r="E352" s="11"/>
      <c r="F352" s="80"/>
      <c r="G352" s="80"/>
      <c r="H352" s="80"/>
      <c r="I352" s="80"/>
      <c r="J352" s="10"/>
      <c r="K352" s="10"/>
      <c r="L352" s="99"/>
      <c r="M352" s="4"/>
      <c r="N352" s="80"/>
      <c r="O352" s="80"/>
      <c r="P352" s="99"/>
      <c r="Q352" s="4"/>
      <c r="R352" s="99"/>
      <c r="S352" s="4"/>
      <c r="T352" s="99"/>
    </row>
    <row r="353" spans="1:20" hidden="1" x14ac:dyDescent="0.25">
      <c r="A353" s="101"/>
      <c r="B353" s="103"/>
      <c r="C353" s="6"/>
      <c r="D353" s="116"/>
      <c r="E353" s="11"/>
      <c r="F353" s="80"/>
      <c r="G353" s="80"/>
      <c r="H353" s="80"/>
      <c r="I353" s="80"/>
      <c r="J353" s="10"/>
      <c r="K353" s="10"/>
      <c r="L353" s="99"/>
      <c r="M353" s="4"/>
      <c r="N353" s="80"/>
      <c r="O353" s="80"/>
      <c r="P353" s="99"/>
      <c r="Q353" s="4"/>
      <c r="R353" s="99"/>
      <c r="S353" s="4"/>
      <c r="T353" s="99"/>
    </row>
    <row r="354" spans="1:20" hidden="1" x14ac:dyDescent="0.25">
      <c r="A354" s="101"/>
      <c r="B354" s="103"/>
      <c r="C354" s="6"/>
      <c r="D354" s="116"/>
      <c r="E354" s="11"/>
      <c r="F354" s="80"/>
      <c r="G354" s="80"/>
      <c r="H354" s="80"/>
      <c r="I354" s="80"/>
      <c r="J354" s="10"/>
      <c r="K354" s="10"/>
      <c r="L354" s="99"/>
      <c r="M354" s="4"/>
      <c r="N354" s="80"/>
      <c r="O354" s="80"/>
      <c r="P354" s="99"/>
      <c r="Q354" s="4"/>
      <c r="R354" s="99"/>
      <c r="S354" s="4"/>
      <c r="T354" s="99"/>
    </row>
    <row r="355" spans="1:20" hidden="1" x14ac:dyDescent="0.25">
      <c r="A355" s="101"/>
      <c r="B355" s="103"/>
      <c r="C355" s="6"/>
      <c r="D355" s="116"/>
      <c r="E355" s="11"/>
      <c r="F355" s="80"/>
      <c r="G355" s="80"/>
      <c r="H355" s="80"/>
      <c r="I355" s="80"/>
      <c r="J355" s="10"/>
      <c r="K355" s="10"/>
      <c r="L355" s="99"/>
      <c r="M355" s="4"/>
      <c r="N355" s="80"/>
      <c r="O355" s="80"/>
      <c r="P355" s="99"/>
      <c r="Q355" s="4"/>
      <c r="R355" s="99"/>
      <c r="S355" s="4"/>
      <c r="T355" s="99"/>
    </row>
    <row r="356" spans="1:20" hidden="1" x14ac:dyDescent="0.25">
      <c r="A356" s="101"/>
      <c r="B356" s="103"/>
      <c r="C356" s="6"/>
      <c r="D356" s="116"/>
      <c r="E356" s="11"/>
      <c r="F356" s="80"/>
      <c r="G356" s="80"/>
      <c r="H356" s="80"/>
      <c r="I356" s="80"/>
      <c r="J356" s="10"/>
      <c r="K356" s="10"/>
      <c r="L356" s="99"/>
      <c r="M356" s="4"/>
      <c r="N356" s="80"/>
      <c r="O356" s="80"/>
      <c r="P356" s="99"/>
      <c r="Q356" s="4"/>
      <c r="R356" s="99"/>
      <c r="S356" s="4"/>
      <c r="T356" s="99"/>
    </row>
    <row r="357" spans="1:20" hidden="1" x14ac:dyDescent="0.25">
      <c r="A357" s="101"/>
      <c r="B357" s="103"/>
      <c r="C357" s="6"/>
      <c r="D357" s="116"/>
      <c r="E357" s="11"/>
      <c r="F357" s="80"/>
      <c r="G357" s="80"/>
      <c r="H357" s="80"/>
      <c r="I357" s="80"/>
      <c r="J357" s="10"/>
      <c r="K357" s="10"/>
      <c r="L357" s="99"/>
      <c r="M357" s="4"/>
      <c r="N357" s="80"/>
      <c r="O357" s="80"/>
      <c r="P357" s="99"/>
      <c r="Q357" s="4"/>
      <c r="R357" s="99"/>
      <c r="S357" s="4"/>
      <c r="T357" s="99"/>
    </row>
    <row r="358" spans="1:20" hidden="1" x14ac:dyDescent="0.25">
      <c r="A358" s="101"/>
      <c r="B358" s="103"/>
      <c r="C358" s="6"/>
      <c r="D358" s="116"/>
      <c r="E358" s="11"/>
      <c r="F358" s="80"/>
      <c r="G358" s="80"/>
      <c r="H358" s="80"/>
      <c r="I358" s="80"/>
      <c r="J358" s="10"/>
      <c r="K358" s="10"/>
      <c r="L358" s="99"/>
      <c r="M358" s="4"/>
      <c r="N358" s="80"/>
      <c r="O358" s="80"/>
      <c r="P358" s="99"/>
      <c r="Q358" s="4"/>
      <c r="R358" s="99"/>
      <c r="S358" s="4"/>
      <c r="T358" s="99"/>
    </row>
    <row r="359" spans="1:20" hidden="1" x14ac:dyDescent="0.25">
      <c r="A359" s="101"/>
      <c r="B359" s="103"/>
      <c r="C359" s="6"/>
      <c r="D359" s="116"/>
      <c r="E359" s="11"/>
      <c r="F359" s="80"/>
      <c r="G359" s="80"/>
      <c r="H359" s="80"/>
      <c r="I359" s="80"/>
      <c r="J359" s="10"/>
      <c r="K359" s="10"/>
      <c r="L359" s="99"/>
      <c r="M359" s="4"/>
      <c r="N359" s="80"/>
      <c r="O359" s="80"/>
      <c r="P359" s="99"/>
      <c r="Q359" s="4"/>
      <c r="R359" s="99"/>
      <c r="S359" s="4"/>
      <c r="T359" s="99"/>
    </row>
    <row r="360" spans="1:20" hidden="1" x14ac:dyDescent="0.25">
      <c r="A360" s="101"/>
      <c r="B360" s="103"/>
      <c r="C360" s="6"/>
      <c r="D360" s="116"/>
      <c r="E360" s="11"/>
      <c r="F360" s="80"/>
      <c r="G360" s="80"/>
      <c r="H360" s="80"/>
      <c r="I360" s="80"/>
      <c r="J360" s="10"/>
      <c r="K360" s="10"/>
      <c r="L360" s="99"/>
      <c r="M360" s="4"/>
      <c r="N360" s="80"/>
      <c r="O360" s="80"/>
      <c r="P360" s="99"/>
      <c r="Q360" s="4"/>
      <c r="R360" s="99"/>
      <c r="S360" s="4"/>
      <c r="T360" s="99"/>
    </row>
    <row r="361" spans="1:20" hidden="1" x14ac:dyDescent="0.25">
      <c r="A361" s="101"/>
      <c r="B361" s="103"/>
      <c r="C361" s="6"/>
      <c r="D361" s="116"/>
      <c r="E361" s="11"/>
      <c r="F361" s="80"/>
      <c r="G361" s="80"/>
      <c r="H361" s="80"/>
      <c r="I361" s="80"/>
      <c r="J361" s="10"/>
      <c r="K361" s="10"/>
      <c r="L361" s="99"/>
      <c r="M361" s="4"/>
      <c r="N361" s="80"/>
      <c r="O361" s="80"/>
      <c r="P361" s="99"/>
      <c r="Q361" s="4"/>
      <c r="R361" s="99"/>
      <c r="S361" s="4"/>
      <c r="T361" s="99"/>
    </row>
    <row r="362" spans="1:20" hidden="1" x14ac:dyDescent="0.25">
      <c r="A362" s="101"/>
      <c r="B362" s="103"/>
      <c r="C362" s="6"/>
      <c r="D362" s="116"/>
      <c r="E362" s="11"/>
      <c r="F362" s="80"/>
      <c r="G362" s="80"/>
      <c r="H362" s="80"/>
      <c r="I362" s="80"/>
      <c r="J362" s="10"/>
      <c r="K362" s="10"/>
      <c r="L362" s="99"/>
      <c r="M362" s="4"/>
      <c r="N362" s="80"/>
      <c r="O362" s="80"/>
      <c r="P362" s="99"/>
      <c r="Q362" s="4"/>
      <c r="R362" s="99"/>
      <c r="S362" s="4"/>
      <c r="T362" s="99"/>
    </row>
    <row r="363" spans="1:20" hidden="1" x14ac:dyDescent="0.25">
      <c r="A363" s="101"/>
      <c r="B363" s="103"/>
      <c r="C363" s="6"/>
      <c r="D363" s="116"/>
      <c r="E363" s="11"/>
      <c r="F363" s="80"/>
      <c r="G363" s="80"/>
      <c r="H363" s="80"/>
      <c r="I363" s="80"/>
      <c r="J363" s="10"/>
      <c r="K363" s="10"/>
      <c r="L363" s="99"/>
      <c r="M363" s="4"/>
      <c r="N363" s="80"/>
      <c r="O363" s="80"/>
      <c r="P363" s="99"/>
      <c r="Q363" s="4"/>
      <c r="R363" s="99"/>
      <c r="S363" s="4"/>
      <c r="T363" s="99"/>
    </row>
    <row r="364" spans="1:20" hidden="1" x14ac:dyDescent="0.25">
      <c r="A364" s="101"/>
      <c r="B364" s="103"/>
      <c r="C364" s="6"/>
      <c r="D364" s="116"/>
      <c r="E364" s="11"/>
      <c r="F364" s="80"/>
      <c r="G364" s="80"/>
      <c r="H364" s="80"/>
      <c r="I364" s="80"/>
      <c r="J364" s="10"/>
      <c r="K364" s="10"/>
      <c r="L364" s="99"/>
      <c r="M364" s="4"/>
      <c r="N364" s="80"/>
      <c r="O364" s="80"/>
      <c r="P364" s="99"/>
      <c r="Q364" s="4"/>
      <c r="R364" s="99"/>
      <c r="S364" s="4"/>
      <c r="T364" s="99"/>
    </row>
    <row r="365" spans="1:20" hidden="1" x14ac:dyDescent="0.25">
      <c r="A365" s="101"/>
      <c r="B365" s="103"/>
      <c r="C365" s="6"/>
      <c r="D365" s="116"/>
      <c r="E365" s="11"/>
      <c r="F365" s="80"/>
      <c r="G365" s="80"/>
      <c r="H365" s="80"/>
      <c r="I365" s="80"/>
      <c r="J365" s="10"/>
      <c r="K365" s="10"/>
      <c r="L365" s="99"/>
      <c r="M365" s="4"/>
      <c r="N365" s="80"/>
      <c r="O365" s="80"/>
      <c r="P365" s="99"/>
      <c r="Q365" s="4"/>
      <c r="R365" s="99"/>
      <c r="S365" s="4"/>
      <c r="T365" s="99"/>
    </row>
    <row r="366" spans="1:20" hidden="1" x14ac:dyDescent="0.25">
      <c r="A366" s="101"/>
      <c r="B366" s="103"/>
      <c r="C366" s="6"/>
      <c r="D366" s="116"/>
      <c r="E366" s="11"/>
      <c r="F366" s="80"/>
      <c r="G366" s="80"/>
      <c r="H366" s="80"/>
      <c r="I366" s="80"/>
      <c r="J366" s="10"/>
      <c r="K366" s="10"/>
      <c r="L366" s="99"/>
      <c r="M366" s="4"/>
      <c r="N366" s="80"/>
      <c r="O366" s="80"/>
      <c r="P366" s="99"/>
      <c r="Q366" s="4"/>
      <c r="R366" s="99"/>
      <c r="S366" s="4"/>
      <c r="T366" s="99"/>
    </row>
    <row r="367" spans="1:20" hidden="1" x14ac:dyDescent="0.25">
      <c r="A367" s="101"/>
      <c r="B367" s="103"/>
      <c r="C367" s="6"/>
      <c r="D367" s="116"/>
      <c r="E367" s="11"/>
      <c r="F367" s="80"/>
      <c r="G367" s="80"/>
      <c r="H367" s="80"/>
      <c r="I367" s="80"/>
      <c r="J367" s="10"/>
      <c r="K367" s="10"/>
      <c r="L367" s="99"/>
      <c r="M367" s="4"/>
      <c r="N367" s="80"/>
      <c r="O367" s="80"/>
      <c r="P367" s="99"/>
      <c r="Q367" s="4"/>
      <c r="R367" s="99"/>
      <c r="S367" s="4"/>
      <c r="T367" s="99"/>
    </row>
    <row r="368" spans="1:20" hidden="1" x14ac:dyDescent="0.25">
      <c r="A368" s="101"/>
      <c r="B368" s="103"/>
      <c r="C368" s="6"/>
      <c r="D368" s="116"/>
      <c r="E368" s="11"/>
      <c r="F368" s="80"/>
      <c r="G368" s="80"/>
      <c r="H368" s="80"/>
      <c r="I368" s="80"/>
      <c r="J368" s="10"/>
      <c r="K368" s="10"/>
      <c r="L368" s="99"/>
      <c r="M368" s="4"/>
      <c r="N368" s="80"/>
      <c r="O368" s="80"/>
      <c r="P368" s="99"/>
      <c r="Q368" s="4"/>
      <c r="R368" s="99"/>
      <c r="S368" s="4"/>
      <c r="T368" s="99"/>
    </row>
    <row r="369" spans="1:20" hidden="1" x14ac:dyDescent="0.25">
      <c r="A369" s="101"/>
      <c r="B369" s="103"/>
      <c r="C369" s="6"/>
      <c r="D369" s="116"/>
      <c r="E369" s="11"/>
      <c r="F369" s="80"/>
      <c r="G369" s="80"/>
      <c r="H369" s="80"/>
      <c r="I369" s="80"/>
      <c r="J369" s="10"/>
      <c r="K369" s="10"/>
      <c r="L369" s="99"/>
      <c r="M369" s="4"/>
      <c r="N369" s="80"/>
      <c r="O369" s="80"/>
      <c r="P369" s="99"/>
      <c r="Q369" s="4"/>
      <c r="R369" s="99"/>
      <c r="S369" s="4"/>
      <c r="T369" s="99"/>
    </row>
    <row r="370" spans="1:20" hidden="1" x14ac:dyDescent="0.25">
      <c r="A370" s="101"/>
      <c r="B370" s="103"/>
      <c r="C370" s="6"/>
      <c r="D370" s="116"/>
      <c r="E370" s="11"/>
      <c r="F370" s="80"/>
      <c r="G370" s="80"/>
      <c r="H370" s="80"/>
      <c r="I370" s="80"/>
      <c r="J370" s="10"/>
      <c r="K370" s="10"/>
      <c r="L370" s="99"/>
      <c r="M370" s="4"/>
      <c r="N370" s="80"/>
      <c r="O370" s="80"/>
      <c r="P370" s="99"/>
      <c r="Q370" s="4"/>
      <c r="R370" s="99"/>
      <c r="S370" s="4"/>
      <c r="T370" s="99"/>
    </row>
    <row r="371" spans="1:20" hidden="1" x14ac:dyDescent="0.25">
      <c r="A371" s="101"/>
      <c r="B371" s="103"/>
      <c r="C371" s="6"/>
      <c r="D371" s="116"/>
      <c r="E371" s="11"/>
      <c r="F371" s="80"/>
      <c r="G371" s="80"/>
      <c r="H371" s="80"/>
      <c r="I371" s="80"/>
      <c r="J371" s="10"/>
      <c r="K371" s="10"/>
      <c r="L371" s="99"/>
      <c r="M371" s="4"/>
      <c r="N371" s="80"/>
      <c r="O371" s="80"/>
      <c r="P371" s="99"/>
      <c r="Q371" s="4"/>
      <c r="R371" s="99"/>
      <c r="S371" s="4"/>
      <c r="T371" s="99"/>
    </row>
    <row r="372" spans="1:20" hidden="1" x14ac:dyDescent="0.25">
      <c r="A372" s="101"/>
      <c r="B372" s="103"/>
      <c r="C372" s="6"/>
      <c r="D372" s="116"/>
      <c r="E372" s="11"/>
      <c r="F372" s="80"/>
      <c r="G372" s="80"/>
      <c r="H372" s="80"/>
      <c r="I372" s="80"/>
      <c r="J372" s="10"/>
      <c r="K372" s="10"/>
      <c r="L372" s="99"/>
      <c r="M372" s="4"/>
      <c r="N372" s="80"/>
      <c r="O372" s="80"/>
      <c r="P372" s="99"/>
      <c r="Q372" s="4"/>
      <c r="R372" s="99"/>
      <c r="S372" s="4"/>
      <c r="T372" s="99"/>
    </row>
    <row r="373" spans="1:20" hidden="1" x14ac:dyDescent="0.25">
      <c r="A373" s="101"/>
      <c r="B373" s="103"/>
      <c r="C373" s="6"/>
      <c r="D373" s="116"/>
      <c r="E373" s="11"/>
      <c r="F373" s="80"/>
      <c r="G373" s="80"/>
      <c r="H373" s="80"/>
      <c r="I373" s="80"/>
      <c r="J373" s="10"/>
      <c r="K373" s="10"/>
      <c r="L373" s="99"/>
      <c r="M373" s="4"/>
      <c r="N373" s="80"/>
      <c r="O373" s="80"/>
      <c r="P373" s="99"/>
      <c r="Q373" s="4"/>
      <c r="R373" s="99"/>
      <c r="S373" s="4"/>
      <c r="T373" s="99"/>
    </row>
    <row r="374" spans="1:20" hidden="1" x14ac:dyDescent="0.25">
      <c r="A374" s="101"/>
      <c r="B374" s="103"/>
      <c r="C374" s="6"/>
      <c r="D374" s="116"/>
      <c r="E374" s="11"/>
      <c r="F374" s="80"/>
      <c r="G374" s="80"/>
      <c r="H374" s="80"/>
      <c r="I374" s="80"/>
      <c r="J374" s="10"/>
      <c r="K374" s="10"/>
      <c r="L374" s="99"/>
      <c r="M374" s="4"/>
      <c r="N374" s="80"/>
      <c r="O374" s="80"/>
      <c r="P374" s="99"/>
      <c r="Q374" s="4"/>
      <c r="R374" s="99"/>
      <c r="S374" s="4"/>
      <c r="T374" s="99"/>
    </row>
    <row r="375" spans="1:20" hidden="1" x14ac:dyDescent="0.25">
      <c r="A375" s="101"/>
      <c r="B375" s="6"/>
      <c r="C375" s="6"/>
      <c r="D375" s="104"/>
      <c r="E375" s="11"/>
      <c r="F375" s="80"/>
      <c r="G375" s="11"/>
      <c r="H375" s="80"/>
      <c r="I375" s="80"/>
      <c r="J375" s="10"/>
      <c r="K375" s="10"/>
      <c r="L375" s="99"/>
      <c r="M375" s="10"/>
      <c r="N375" s="80"/>
      <c r="O375" s="80"/>
      <c r="P375" s="99"/>
      <c r="Q375" s="4"/>
      <c r="R375" s="11"/>
      <c r="S375" s="4"/>
      <c r="T375" s="99"/>
    </row>
    <row r="376" spans="1:20" hidden="1" x14ac:dyDescent="0.25">
      <c r="A376" s="101"/>
      <c r="B376" s="6"/>
      <c r="C376" s="6"/>
      <c r="D376" s="104"/>
      <c r="E376" s="11"/>
      <c r="F376" s="80"/>
      <c r="G376" s="11"/>
      <c r="H376" s="80"/>
      <c r="I376" s="80"/>
      <c r="J376" s="10"/>
      <c r="K376" s="10"/>
      <c r="L376" s="99"/>
      <c r="M376" s="10"/>
      <c r="N376" s="80"/>
      <c r="O376" s="80"/>
      <c r="P376" s="99"/>
      <c r="Q376" s="4"/>
      <c r="R376" s="11"/>
      <c r="S376" s="4"/>
      <c r="T376" s="99"/>
    </row>
    <row r="377" spans="1:20" hidden="1" x14ac:dyDescent="0.25">
      <c r="A377" s="101"/>
      <c r="B377" s="6"/>
      <c r="C377" s="6"/>
      <c r="D377" s="104"/>
      <c r="E377" s="11"/>
      <c r="F377" s="80"/>
      <c r="G377" s="11"/>
      <c r="H377" s="80"/>
      <c r="I377" s="80"/>
      <c r="J377" s="10"/>
      <c r="K377" s="10"/>
      <c r="L377" s="99"/>
      <c r="M377" s="10"/>
      <c r="N377" s="80"/>
      <c r="O377" s="80"/>
      <c r="P377" s="99"/>
      <c r="Q377" s="4"/>
      <c r="R377" s="11"/>
      <c r="S377" s="4"/>
      <c r="T377" s="99"/>
    </row>
    <row r="378" spans="1:20" hidden="1" x14ac:dyDescent="0.25">
      <c r="A378" s="101"/>
      <c r="B378" s="6"/>
      <c r="C378" s="6"/>
      <c r="D378" s="104"/>
      <c r="E378" s="11"/>
      <c r="F378" s="80"/>
      <c r="G378" s="11"/>
      <c r="H378" s="80"/>
      <c r="I378" s="80"/>
      <c r="J378" s="10"/>
      <c r="K378" s="10"/>
      <c r="L378" s="99"/>
      <c r="M378" s="10"/>
      <c r="N378" s="80"/>
      <c r="O378" s="80"/>
      <c r="P378" s="99"/>
      <c r="Q378" s="4"/>
      <c r="R378" s="11"/>
      <c r="S378" s="4"/>
      <c r="T378" s="99"/>
    </row>
    <row r="379" spans="1:20" hidden="1" x14ac:dyDescent="0.25">
      <c r="A379" s="101"/>
      <c r="B379" s="6"/>
      <c r="C379" s="102"/>
      <c r="D379" s="104"/>
      <c r="E379" s="11"/>
      <c r="F379" s="80"/>
      <c r="G379" s="11"/>
      <c r="H379" s="80"/>
      <c r="I379" s="80"/>
      <c r="J379" s="10"/>
      <c r="K379" s="10"/>
      <c r="L379" s="99"/>
      <c r="M379" s="10"/>
      <c r="N379" s="80"/>
      <c r="O379" s="80"/>
      <c r="P379" s="99"/>
      <c r="Q379" s="4"/>
      <c r="R379" s="11"/>
      <c r="S379" s="4"/>
      <c r="T379" s="99"/>
    </row>
    <row r="380" spans="1:20" hidden="1" x14ac:dyDescent="0.25">
      <c r="A380" s="101"/>
      <c r="B380" s="6"/>
      <c r="C380" s="102"/>
      <c r="D380" s="104"/>
      <c r="E380" s="11"/>
      <c r="F380" s="80"/>
      <c r="G380" s="11"/>
      <c r="H380" s="80"/>
      <c r="I380" s="80"/>
      <c r="J380" s="10"/>
      <c r="K380" s="10"/>
      <c r="L380" s="99"/>
      <c r="M380" s="10"/>
      <c r="N380" s="80"/>
      <c r="O380" s="80"/>
      <c r="P380" s="99"/>
      <c r="Q380" s="4"/>
      <c r="R380" s="11"/>
      <c r="S380" s="4"/>
      <c r="T380" s="99"/>
    </row>
    <row r="381" spans="1:20" hidden="1" x14ac:dyDescent="0.25">
      <c r="A381" s="101"/>
      <c r="B381" s="6"/>
      <c r="C381" s="102"/>
      <c r="D381" s="104"/>
      <c r="E381" s="11"/>
      <c r="F381" s="80"/>
      <c r="G381" s="11"/>
      <c r="H381" s="80"/>
      <c r="I381" s="80"/>
      <c r="J381" s="10"/>
      <c r="K381" s="10"/>
      <c r="L381" s="99"/>
      <c r="M381" s="10"/>
      <c r="N381" s="80"/>
      <c r="O381" s="80"/>
      <c r="P381" s="99"/>
      <c r="Q381" s="4"/>
      <c r="R381" s="11"/>
      <c r="S381" s="4"/>
      <c r="T381" s="99"/>
    </row>
    <row r="382" spans="1:20" hidden="1" x14ac:dyDescent="0.25">
      <c r="A382" s="101"/>
      <c r="C382" s="102"/>
      <c r="D382" s="104"/>
      <c r="E382" s="11"/>
      <c r="F382" s="80"/>
      <c r="G382" s="80"/>
      <c r="H382" s="80"/>
      <c r="I382" s="80"/>
      <c r="J382" s="10"/>
      <c r="K382" s="10"/>
      <c r="L382" s="99"/>
      <c r="M382" s="10"/>
      <c r="N382" s="80"/>
      <c r="O382" s="80"/>
      <c r="P382" s="99"/>
      <c r="Q382" s="4"/>
      <c r="R382" s="99"/>
      <c r="S382" s="4"/>
      <c r="T382" s="99"/>
    </row>
    <row r="383" spans="1:20" hidden="1" x14ac:dyDescent="0.25">
      <c r="A383" s="101"/>
      <c r="C383" s="117"/>
      <c r="D383" s="118"/>
      <c r="E383" s="11"/>
      <c r="F383" s="80"/>
      <c r="G383" s="80"/>
      <c r="H383" s="80"/>
      <c r="I383" s="80"/>
      <c r="J383" s="10"/>
      <c r="K383" s="10"/>
      <c r="L383" s="99"/>
      <c r="M383" s="10"/>
      <c r="N383" s="80"/>
      <c r="O383" s="80"/>
      <c r="P383" s="99"/>
      <c r="Q383" s="4"/>
      <c r="R383" s="99"/>
      <c r="S383" s="4"/>
      <c r="T383" s="99"/>
    </row>
    <row r="384" spans="1:20" hidden="1" x14ac:dyDescent="0.25">
      <c r="A384" s="101"/>
      <c r="C384" s="117"/>
      <c r="D384" s="118"/>
      <c r="E384" s="11"/>
      <c r="F384" s="80"/>
      <c r="G384" s="80"/>
      <c r="H384" s="80"/>
      <c r="I384" s="80"/>
      <c r="J384" s="10"/>
      <c r="K384" s="10"/>
      <c r="L384" s="99"/>
      <c r="M384" s="10"/>
      <c r="N384" s="80"/>
      <c r="O384" s="80"/>
      <c r="P384" s="99"/>
      <c r="Q384" s="4"/>
      <c r="R384" s="99"/>
      <c r="S384" s="4"/>
      <c r="T384" s="99"/>
    </row>
    <row r="385" spans="1:23" hidden="1" x14ac:dyDescent="0.25">
      <c r="A385" s="101"/>
      <c r="C385" s="117"/>
      <c r="D385" s="118"/>
      <c r="E385" s="11"/>
      <c r="F385" s="80"/>
      <c r="G385" s="80"/>
      <c r="H385" s="80"/>
      <c r="I385" s="80"/>
      <c r="J385" s="10"/>
      <c r="K385" s="10"/>
      <c r="L385" s="99"/>
      <c r="M385" s="10"/>
      <c r="N385" s="80"/>
      <c r="O385" s="80"/>
      <c r="P385" s="99"/>
      <c r="Q385" s="4"/>
      <c r="R385" s="99"/>
      <c r="S385" s="4"/>
      <c r="T385" s="99"/>
    </row>
    <row r="386" spans="1:23" hidden="1" x14ac:dyDescent="0.25">
      <c r="A386" s="101"/>
      <c r="C386" s="6"/>
      <c r="D386" s="118"/>
      <c r="E386" s="11"/>
      <c r="F386" s="80"/>
      <c r="G386" s="80"/>
      <c r="H386" s="80"/>
      <c r="I386" s="80"/>
      <c r="J386" s="10"/>
      <c r="K386" s="10"/>
      <c r="L386" s="99"/>
      <c r="M386" s="10"/>
      <c r="N386" s="80"/>
      <c r="O386" s="80"/>
      <c r="P386" s="99"/>
      <c r="Q386" s="4"/>
      <c r="R386" s="99"/>
      <c r="S386" s="4"/>
      <c r="T386" s="99"/>
    </row>
    <row r="387" spans="1:23" hidden="1" x14ac:dyDescent="0.25">
      <c r="A387" s="101"/>
      <c r="B387" s="6"/>
      <c r="C387" s="6"/>
      <c r="D387" s="104"/>
      <c r="E387" s="11"/>
      <c r="F387" s="80"/>
      <c r="G387" s="80"/>
      <c r="H387" s="80"/>
      <c r="I387" s="80"/>
      <c r="J387" s="10"/>
      <c r="K387" s="10"/>
      <c r="L387" s="99"/>
      <c r="M387" s="10"/>
      <c r="N387" s="80"/>
      <c r="O387" s="80"/>
      <c r="P387" s="99"/>
      <c r="Q387" s="4"/>
      <c r="R387" s="99"/>
      <c r="S387" s="4"/>
      <c r="T387" s="99"/>
    </row>
    <row r="388" spans="1:23" hidden="1" x14ac:dyDescent="0.25">
      <c r="A388" s="101"/>
      <c r="B388" s="6"/>
      <c r="C388" s="6"/>
      <c r="D388" s="104"/>
      <c r="E388" s="11"/>
      <c r="F388" s="80"/>
      <c r="G388" s="80"/>
      <c r="H388" s="80"/>
      <c r="I388" s="80"/>
      <c r="J388" s="10"/>
      <c r="K388" s="10"/>
      <c r="L388" s="99"/>
      <c r="M388" s="10"/>
      <c r="N388" s="80"/>
      <c r="O388" s="80"/>
      <c r="P388" s="99"/>
      <c r="Q388" s="4"/>
      <c r="R388" s="99"/>
      <c r="S388" s="4"/>
      <c r="T388" s="99"/>
    </row>
    <row r="389" spans="1:23" hidden="1" x14ac:dyDescent="0.25">
      <c r="A389" s="101"/>
      <c r="B389" s="6"/>
      <c r="C389" s="6"/>
      <c r="D389" s="104"/>
      <c r="E389" s="11"/>
      <c r="F389" s="80"/>
      <c r="G389" s="80"/>
      <c r="H389" s="80"/>
      <c r="I389" s="80"/>
      <c r="J389" s="10"/>
      <c r="K389" s="10"/>
      <c r="L389" s="99"/>
      <c r="M389" s="10"/>
      <c r="N389" s="80"/>
      <c r="O389" s="80"/>
      <c r="P389" s="99"/>
      <c r="Q389" s="4"/>
      <c r="R389" s="99"/>
      <c r="S389" s="4"/>
      <c r="T389" s="99"/>
    </row>
    <row r="390" spans="1:23" hidden="1" x14ac:dyDescent="0.25">
      <c r="A390" s="86"/>
      <c r="B390" s="87"/>
      <c r="C390" s="87"/>
      <c r="D390" s="88" t="s">
        <v>63</v>
      </c>
      <c r="E390" s="89">
        <f>SUM(E166:E389)</f>
        <v>0</v>
      </c>
      <c r="F390" s="89">
        <f>SUM(F166:F389)</f>
        <v>0</v>
      </c>
      <c r="G390" s="89">
        <f>SUM(G166:G389)</f>
        <v>0</v>
      </c>
      <c r="H390" s="89">
        <f>SUM(H166:H389)</f>
        <v>0</v>
      </c>
      <c r="I390" s="90"/>
      <c r="J390" s="89">
        <f>SUM(J166:J389)</f>
        <v>0</v>
      </c>
      <c r="K390" s="89">
        <f>SUM(K166:K389)</f>
        <v>0</v>
      </c>
      <c r="L390" s="90"/>
      <c r="M390" s="90">
        <f>SUM(M307:M389)</f>
        <v>0</v>
      </c>
      <c r="N390" s="89">
        <f>SUM(N166:N389)</f>
        <v>0</v>
      </c>
      <c r="O390" s="89">
        <f>SUM(O166:O389)</f>
        <v>0</v>
      </c>
      <c r="P390" s="90"/>
      <c r="Q390" s="90">
        <f>SUM(Q307:Q389)</f>
        <v>0</v>
      </c>
      <c r="R390" s="89">
        <f>SUM(R166:R389)</f>
        <v>0</v>
      </c>
      <c r="S390" s="89">
        <f>SUM(S166:S389)</f>
        <v>0</v>
      </c>
      <c r="T390" s="90"/>
    </row>
    <row r="391" spans="1:23" hidden="1" x14ac:dyDescent="0.25">
      <c r="A391" s="86"/>
      <c r="B391" s="87"/>
      <c r="C391" s="87"/>
      <c r="D391" s="88" t="s">
        <v>64</v>
      </c>
      <c r="E391" s="89">
        <f>E390+E165</f>
        <v>0</v>
      </c>
      <c r="F391" s="89">
        <f>F390+F165</f>
        <v>0</v>
      </c>
      <c r="G391" s="89">
        <f>G390+G165</f>
        <v>0</v>
      </c>
      <c r="H391" s="89">
        <f>H390+H165</f>
        <v>0</v>
      </c>
      <c r="I391" s="90"/>
      <c r="J391" s="89">
        <f>J390+J165</f>
        <v>0</v>
      </c>
      <c r="K391" s="89">
        <f>K390+K165</f>
        <v>0</v>
      </c>
      <c r="L391" s="90"/>
      <c r="M391" s="90"/>
      <c r="N391" s="89">
        <f>N390+N165</f>
        <v>0</v>
      </c>
      <c r="O391" s="89">
        <f>O390+O165</f>
        <v>0</v>
      </c>
      <c r="P391" s="90"/>
      <c r="Q391" s="90"/>
      <c r="R391" s="89">
        <f>R390+R165</f>
        <v>0</v>
      </c>
      <c r="S391" s="89">
        <f>S390+S165</f>
        <v>0</v>
      </c>
      <c r="T391" s="90"/>
    </row>
    <row r="392" spans="1:23" hidden="1" x14ac:dyDescent="0.25">
      <c r="A392" s="86"/>
      <c r="B392" s="87"/>
      <c r="C392" s="87"/>
      <c r="D392" s="88" t="s">
        <v>65</v>
      </c>
      <c r="E392" s="89">
        <f>E391-F391</f>
        <v>0</v>
      </c>
      <c r="F392" s="86"/>
      <c r="G392" s="89">
        <f>G391-H391</f>
        <v>0</v>
      </c>
      <c r="H392" s="86"/>
      <c r="I392" s="86"/>
      <c r="J392" s="89">
        <f>J391-K391</f>
        <v>0</v>
      </c>
      <c r="K392" s="86"/>
      <c r="L392" s="86"/>
      <c r="M392" s="86"/>
      <c r="N392" s="89">
        <f>N391-O391</f>
        <v>0</v>
      </c>
      <c r="O392" s="86"/>
      <c r="P392" s="86"/>
      <c r="Q392" s="86"/>
      <c r="R392" s="89">
        <f>R391-S391</f>
        <v>0</v>
      </c>
      <c r="S392" s="86"/>
      <c r="T392" s="86"/>
    </row>
    <row r="393" spans="1:23" s="9" customFormat="1" hidden="1" x14ac:dyDescent="0.25">
      <c r="B393" s="119"/>
      <c r="C393" s="119"/>
      <c r="D393" s="120"/>
      <c r="E393" s="121"/>
      <c r="J393" s="122"/>
      <c r="K393" s="122"/>
      <c r="W393" s="251"/>
    </row>
    <row r="394" spans="1:23" s="9" customFormat="1" hidden="1" x14ac:dyDescent="0.25">
      <c r="B394" s="119"/>
      <c r="C394" s="119"/>
      <c r="D394" s="120"/>
      <c r="E394" s="121"/>
      <c r="G394" s="122"/>
      <c r="J394" s="122"/>
      <c r="K394" s="122"/>
      <c r="W394" s="251"/>
    </row>
    <row r="395" spans="1:23" s="9" customFormat="1" hidden="1" x14ac:dyDescent="0.25">
      <c r="B395" s="119"/>
      <c r="C395" s="119"/>
      <c r="D395" s="120"/>
      <c r="E395" s="121"/>
      <c r="W395" s="251"/>
    </row>
    <row r="396" spans="1:23" hidden="1" x14ac:dyDescent="0.25"/>
    <row r="397" spans="1:23" hidden="1" x14ac:dyDescent="0.25"/>
    <row r="398" spans="1:23" hidden="1" x14ac:dyDescent="0.25"/>
    <row r="399" spans="1:23" hidden="1" x14ac:dyDescent="0.25"/>
    <row r="400" spans="1:23" hidden="1" x14ac:dyDescent="0.25"/>
    <row r="401" spans="5:5" hidden="1" x14ac:dyDescent="0.25"/>
    <row r="402" spans="5:5" hidden="1" x14ac:dyDescent="0.25"/>
    <row r="403" spans="5:5" hidden="1" x14ac:dyDescent="0.25"/>
    <row r="404" spans="5:5" hidden="1" x14ac:dyDescent="0.25"/>
    <row r="405" spans="5:5" hidden="1" x14ac:dyDescent="0.25"/>
    <row r="406" spans="5:5" hidden="1" x14ac:dyDescent="0.25"/>
    <row r="407" spans="5:5" hidden="1" x14ac:dyDescent="0.25"/>
    <row r="408" spans="5:5" hidden="1" x14ac:dyDescent="0.25"/>
    <row r="409" spans="5:5" hidden="1" x14ac:dyDescent="0.25"/>
    <row r="410" spans="5:5" hidden="1" x14ac:dyDescent="0.25"/>
    <row r="411" spans="5:5" x14ac:dyDescent="0.25"/>
    <row r="412" spans="5:5" x14ac:dyDescent="0.25"/>
    <row r="413" spans="5:5" x14ac:dyDescent="0.25"/>
    <row r="414" spans="5:5" x14ac:dyDescent="0.25"/>
    <row r="415" spans="5:5" x14ac:dyDescent="0.25"/>
    <row r="416" spans="5:5" x14ac:dyDescent="0.25">
      <c r="E416" s="1">
        <v>9038934</v>
      </c>
    </row>
    <row r="417" spans="5:5" x14ac:dyDescent="0.25">
      <c r="E417" s="1">
        <v>5258934</v>
      </c>
    </row>
    <row r="418" spans="5:5" x14ac:dyDescent="0.25">
      <c r="E418" s="1">
        <f>E416-E417</f>
        <v>3780000</v>
      </c>
    </row>
    <row r="419" spans="5:5" x14ac:dyDescent="0.25">
      <c r="E419" s="1">
        <f>E159-E418</f>
        <v>7080000</v>
      </c>
    </row>
    <row r="420" spans="5:5" x14ac:dyDescent="0.25"/>
    <row r="421" spans="5:5" x14ac:dyDescent="0.25"/>
    <row r="422" spans="5:5" x14ac:dyDescent="0.25"/>
    <row r="423" spans="5:5" x14ac:dyDescent="0.25"/>
    <row r="424" spans="5:5" x14ac:dyDescent="0.25"/>
    <row r="425" spans="5:5" x14ac:dyDescent="0.25"/>
    <row r="426" spans="5:5" x14ac:dyDescent="0.25"/>
    <row r="427" spans="5:5" x14ac:dyDescent="0.25"/>
    <row r="428" spans="5:5" x14ac:dyDescent="0.25"/>
    <row r="429" spans="5:5" x14ac:dyDescent="0.25"/>
    <row r="430" spans="5:5" x14ac:dyDescent="0.25"/>
    <row r="431" spans="5:5" x14ac:dyDescent="0.25"/>
    <row r="432" spans="5:5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  <row r="1000" x14ac:dyDescent="0.25"/>
    <row r="1001" x14ac:dyDescent="0.25"/>
    <row r="1002" x14ac:dyDescent="0.25"/>
    <row r="1003" x14ac:dyDescent="0.25"/>
    <row r="1004" x14ac:dyDescent="0.25"/>
    <row r="1005" x14ac:dyDescent="0.25"/>
    <row r="1006" x14ac:dyDescent="0.25"/>
    <row r="1007" x14ac:dyDescent="0.25"/>
    <row r="1008" x14ac:dyDescent="0.25"/>
    <row r="1009" x14ac:dyDescent="0.25"/>
    <row r="1010" x14ac:dyDescent="0.25"/>
    <row r="1011" x14ac:dyDescent="0.25"/>
    <row r="1012" x14ac:dyDescent="0.25"/>
    <row r="1013" x14ac:dyDescent="0.25"/>
    <row r="1014" x14ac:dyDescent="0.25"/>
    <row r="1015" x14ac:dyDescent="0.25"/>
    <row r="1016" x14ac:dyDescent="0.25"/>
    <row r="1017" x14ac:dyDescent="0.25"/>
    <row r="1018" x14ac:dyDescent="0.25"/>
    <row r="1019" x14ac:dyDescent="0.25"/>
    <row r="1020" x14ac:dyDescent="0.25"/>
    <row r="1021" x14ac:dyDescent="0.25"/>
    <row r="1022" x14ac:dyDescent="0.25"/>
    <row r="1023" x14ac:dyDescent="0.25"/>
    <row r="1024" x14ac:dyDescent="0.25"/>
    <row r="1025" x14ac:dyDescent="0.25"/>
    <row r="1026" x14ac:dyDescent="0.25"/>
    <row r="1027" x14ac:dyDescent="0.25"/>
    <row r="1028" x14ac:dyDescent="0.25"/>
    <row r="1029" x14ac:dyDescent="0.25"/>
    <row r="1030" x14ac:dyDescent="0.25"/>
    <row r="1031" x14ac:dyDescent="0.25"/>
    <row r="1032" x14ac:dyDescent="0.25"/>
    <row r="1033" x14ac:dyDescent="0.25"/>
    <row r="1034" x14ac:dyDescent="0.25"/>
    <row r="1035" x14ac:dyDescent="0.25"/>
    <row r="1036" x14ac:dyDescent="0.25"/>
    <row r="1037" x14ac:dyDescent="0.25"/>
    <row r="1038" x14ac:dyDescent="0.25"/>
    <row r="1039" x14ac:dyDescent="0.25"/>
    <row r="1040" x14ac:dyDescent="0.25"/>
    <row r="1041" x14ac:dyDescent="0.25"/>
    <row r="1042" x14ac:dyDescent="0.25"/>
    <row r="1043" x14ac:dyDescent="0.25"/>
    <row r="1044" x14ac:dyDescent="0.25"/>
    <row r="1045" x14ac:dyDescent="0.25"/>
    <row r="1046" x14ac:dyDescent="0.25"/>
    <row r="1047" x14ac:dyDescent="0.25"/>
    <row r="1048" x14ac:dyDescent="0.25"/>
    <row r="1049" x14ac:dyDescent="0.25"/>
    <row r="1050" x14ac:dyDescent="0.25"/>
    <row r="1051" x14ac:dyDescent="0.25"/>
    <row r="1052" x14ac:dyDescent="0.25"/>
    <row r="1053" x14ac:dyDescent="0.25"/>
    <row r="1054" x14ac:dyDescent="0.25"/>
    <row r="1055" x14ac:dyDescent="0.25"/>
    <row r="1056" x14ac:dyDescent="0.25"/>
    <row r="1057" x14ac:dyDescent="0.25"/>
    <row r="1058" x14ac:dyDescent="0.25"/>
    <row r="1059" x14ac:dyDescent="0.25"/>
    <row r="1060" x14ac:dyDescent="0.25"/>
    <row r="1061" x14ac:dyDescent="0.25"/>
    <row r="1062" x14ac:dyDescent="0.25"/>
    <row r="1063" x14ac:dyDescent="0.25"/>
    <row r="1064" x14ac:dyDescent="0.25"/>
    <row r="1065" x14ac:dyDescent="0.25"/>
    <row r="1066" x14ac:dyDescent="0.25"/>
    <row r="1067" x14ac:dyDescent="0.25"/>
    <row r="1068" x14ac:dyDescent="0.25"/>
    <row r="1069" x14ac:dyDescent="0.25"/>
    <row r="1070" x14ac:dyDescent="0.25"/>
    <row r="1071" x14ac:dyDescent="0.25"/>
    <row r="1072" x14ac:dyDescent="0.25"/>
    <row r="1073" x14ac:dyDescent="0.25"/>
    <row r="1074" x14ac:dyDescent="0.25"/>
    <row r="1075" x14ac:dyDescent="0.25"/>
    <row r="1076" x14ac:dyDescent="0.25"/>
    <row r="1077" x14ac:dyDescent="0.25"/>
    <row r="1078" x14ac:dyDescent="0.25"/>
    <row r="1079" x14ac:dyDescent="0.25"/>
    <row r="1080" x14ac:dyDescent="0.25"/>
    <row r="1081" x14ac:dyDescent="0.25"/>
    <row r="1082" x14ac:dyDescent="0.25"/>
    <row r="1083" x14ac:dyDescent="0.25"/>
    <row r="1084" x14ac:dyDescent="0.25"/>
    <row r="1085" x14ac:dyDescent="0.25"/>
    <row r="1086" x14ac:dyDescent="0.25"/>
    <row r="1087" x14ac:dyDescent="0.25"/>
    <row r="1088" x14ac:dyDescent="0.25"/>
    <row r="1089" x14ac:dyDescent="0.25"/>
    <row r="1090" x14ac:dyDescent="0.25"/>
    <row r="1091" x14ac:dyDescent="0.25"/>
    <row r="1092" x14ac:dyDescent="0.25"/>
    <row r="1093" x14ac:dyDescent="0.25"/>
    <row r="1094" x14ac:dyDescent="0.25"/>
    <row r="1095" x14ac:dyDescent="0.25"/>
    <row r="1096" x14ac:dyDescent="0.25"/>
    <row r="1097" x14ac:dyDescent="0.25"/>
    <row r="1098" x14ac:dyDescent="0.25"/>
    <row r="1099" x14ac:dyDescent="0.25"/>
    <row r="1100" x14ac:dyDescent="0.25"/>
    <row r="1101" x14ac:dyDescent="0.25"/>
    <row r="1102" x14ac:dyDescent="0.25"/>
    <row r="1103" x14ac:dyDescent="0.25"/>
    <row r="1104" x14ac:dyDescent="0.25"/>
    <row r="1105" x14ac:dyDescent="0.25"/>
    <row r="1106" x14ac:dyDescent="0.25"/>
    <row r="1107" x14ac:dyDescent="0.25"/>
    <row r="1108" x14ac:dyDescent="0.25"/>
    <row r="1109" x14ac:dyDescent="0.25"/>
    <row r="1110" x14ac:dyDescent="0.25"/>
    <row r="1111" x14ac:dyDescent="0.25"/>
    <row r="1112" x14ac:dyDescent="0.25"/>
    <row r="1113" x14ac:dyDescent="0.25"/>
    <row r="1114" x14ac:dyDescent="0.25"/>
    <row r="1115" x14ac:dyDescent="0.25"/>
    <row r="1116" x14ac:dyDescent="0.25"/>
    <row r="1117" x14ac:dyDescent="0.25"/>
    <row r="1118" x14ac:dyDescent="0.25"/>
    <row r="1119" x14ac:dyDescent="0.25"/>
    <row r="1120" x14ac:dyDescent="0.25"/>
    <row r="1121" x14ac:dyDescent="0.25"/>
    <row r="1122" x14ac:dyDescent="0.25"/>
    <row r="1123" x14ac:dyDescent="0.25"/>
    <row r="1124" x14ac:dyDescent="0.25"/>
    <row r="1125" x14ac:dyDescent="0.25"/>
    <row r="1126" x14ac:dyDescent="0.25"/>
    <row r="1127" x14ac:dyDescent="0.25"/>
    <row r="1128" x14ac:dyDescent="0.25"/>
    <row r="1129" x14ac:dyDescent="0.25"/>
    <row r="1130" x14ac:dyDescent="0.25"/>
    <row r="1131" x14ac:dyDescent="0.25"/>
    <row r="1132" x14ac:dyDescent="0.25"/>
    <row r="1133" x14ac:dyDescent="0.25"/>
    <row r="1134" x14ac:dyDescent="0.25"/>
    <row r="1135" x14ac:dyDescent="0.25"/>
    <row r="1136" x14ac:dyDescent="0.25"/>
    <row r="1137" x14ac:dyDescent="0.25"/>
    <row r="1138" x14ac:dyDescent="0.25"/>
    <row r="1139" x14ac:dyDescent="0.25"/>
    <row r="1140" x14ac:dyDescent="0.25"/>
    <row r="1141" x14ac:dyDescent="0.25"/>
    <row r="1142" x14ac:dyDescent="0.25"/>
    <row r="1143" x14ac:dyDescent="0.25"/>
    <row r="1144" x14ac:dyDescent="0.25"/>
    <row r="1145" x14ac:dyDescent="0.25"/>
    <row r="1146" x14ac:dyDescent="0.25"/>
    <row r="1147" x14ac:dyDescent="0.25"/>
    <row r="1148" x14ac:dyDescent="0.25"/>
    <row r="1149" x14ac:dyDescent="0.25"/>
    <row r="1150" x14ac:dyDescent="0.25"/>
    <row r="1151" x14ac:dyDescent="0.25"/>
    <row r="1152" x14ac:dyDescent="0.25"/>
    <row r="1153" x14ac:dyDescent="0.25"/>
    <row r="1154" x14ac:dyDescent="0.25"/>
    <row r="1155" x14ac:dyDescent="0.25"/>
    <row r="1156" x14ac:dyDescent="0.25"/>
    <row r="1157" x14ac:dyDescent="0.25"/>
    <row r="1158" x14ac:dyDescent="0.25"/>
    <row r="1159" x14ac:dyDescent="0.25"/>
    <row r="1160" x14ac:dyDescent="0.25"/>
    <row r="1161" x14ac:dyDescent="0.25"/>
    <row r="1162" x14ac:dyDescent="0.25"/>
    <row r="1163" x14ac:dyDescent="0.25"/>
    <row r="1164" x14ac:dyDescent="0.25"/>
    <row r="1165" x14ac:dyDescent="0.25"/>
    <row r="1166" x14ac:dyDescent="0.25"/>
    <row r="1167" x14ac:dyDescent="0.25"/>
    <row r="1168" x14ac:dyDescent="0.25"/>
    <row r="1169" x14ac:dyDescent="0.25"/>
    <row r="1170" x14ac:dyDescent="0.25"/>
    <row r="1171" x14ac:dyDescent="0.25"/>
    <row r="1172" x14ac:dyDescent="0.25"/>
    <row r="1173" x14ac:dyDescent="0.25"/>
    <row r="1174" x14ac:dyDescent="0.25"/>
    <row r="1175" x14ac:dyDescent="0.25"/>
    <row r="1176" x14ac:dyDescent="0.25"/>
    <row r="1177" x14ac:dyDescent="0.25"/>
    <row r="1178" x14ac:dyDescent="0.25"/>
    <row r="1179" x14ac:dyDescent="0.25"/>
    <row r="1180" x14ac:dyDescent="0.25"/>
    <row r="1181" x14ac:dyDescent="0.25"/>
    <row r="1182" x14ac:dyDescent="0.25"/>
    <row r="1183" x14ac:dyDescent="0.25"/>
    <row r="1184" x14ac:dyDescent="0.25"/>
    <row r="1185" x14ac:dyDescent="0.25"/>
    <row r="1186" x14ac:dyDescent="0.25"/>
    <row r="1187" x14ac:dyDescent="0.25"/>
    <row r="1188" x14ac:dyDescent="0.25"/>
    <row r="1189" x14ac:dyDescent="0.25"/>
    <row r="1190" x14ac:dyDescent="0.25"/>
    <row r="1191" x14ac:dyDescent="0.25"/>
    <row r="1192" x14ac:dyDescent="0.25"/>
    <row r="1193" x14ac:dyDescent="0.25"/>
    <row r="1194" x14ac:dyDescent="0.25"/>
    <row r="1195" x14ac:dyDescent="0.25"/>
    <row r="1196" x14ac:dyDescent="0.25"/>
    <row r="1197" x14ac:dyDescent="0.25"/>
    <row r="1198" x14ac:dyDescent="0.25"/>
    <row r="1199" x14ac:dyDescent="0.25"/>
    <row r="1200" x14ac:dyDescent="0.25"/>
    <row r="1201" x14ac:dyDescent="0.25"/>
    <row r="1202" x14ac:dyDescent="0.25"/>
    <row r="1203" x14ac:dyDescent="0.25"/>
    <row r="1204" x14ac:dyDescent="0.25"/>
    <row r="1205" x14ac:dyDescent="0.25"/>
    <row r="1206" x14ac:dyDescent="0.25"/>
    <row r="1207" x14ac:dyDescent="0.25"/>
    <row r="1208" x14ac:dyDescent="0.25"/>
    <row r="1209" x14ac:dyDescent="0.25"/>
    <row r="1210" x14ac:dyDescent="0.25"/>
    <row r="1211" x14ac:dyDescent="0.25"/>
    <row r="1212" x14ac:dyDescent="0.25"/>
    <row r="1213" x14ac:dyDescent="0.25"/>
    <row r="1214" x14ac:dyDescent="0.25"/>
    <row r="1215" x14ac:dyDescent="0.25"/>
    <row r="1216" x14ac:dyDescent="0.25"/>
    <row r="1217" x14ac:dyDescent="0.25"/>
    <row r="1218" x14ac:dyDescent="0.25"/>
    <row r="1219" x14ac:dyDescent="0.25"/>
    <row r="1220" x14ac:dyDescent="0.25"/>
    <row r="1221" x14ac:dyDescent="0.25"/>
    <row r="1222" x14ac:dyDescent="0.25"/>
    <row r="1223" x14ac:dyDescent="0.25"/>
    <row r="1224" x14ac:dyDescent="0.25"/>
    <row r="1225" x14ac:dyDescent="0.25"/>
    <row r="1226" x14ac:dyDescent="0.25"/>
    <row r="1227" x14ac:dyDescent="0.25"/>
    <row r="1228" x14ac:dyDescent="0.25"/>
    <row r="1229" x14ac:dyDescent="0.25"/>
    <row r="1230" x14ac:dyDescent="0.25"/>
    <row r="1231" x14ac:dyDescent="0.25"/>
    <row r="1232" x14ac:dyDescent="0.25"/>
    <row r="1233" x14ac:dyDescent="0.25"/>
    <row r="1234" x14ac:dyDescent="0.25"/>
    <row r="1235" x14ac:dyDescent="0.25"/>
    <row r="1236" x14ac:dyDescent="0.25"/>
    <row r="1237" x14ac:dyDescent="0.25"/>
    <row r="1238" x14ac:dyDescent="0.25"/>
    <row r="1239" x14ac:dyDescent="0.25"/>
    <row r="1240" x14ac:dyDescent="0.25"/>
    <row r="1241" x14ac:dyDescent="0.25"/>
    <row r="1242" x14ac:dyDescent="0.25"/>
    <row r="1243" x14ac:dyDescent="0.25"/>
    <row r="1244" x14ac:dyDescent="0.25"/>
    <row r="1245" x14ac:dyDescent="0.25"/>
    <row r="1246" x14ac:dyDescent="0.25"/>
    <row r="1247" x14ac:dyDescent="0.25"/>
    <row r="1248" x14ac:dyDescent="0.25"/>
    <row r="1249" x14ac:dyDescent="0.25"/>
    <row r="1250" x14ac:dyDescent="0.25"/>
    <row r="1251" x14ac:dyDescent="0.25"/>
    <row r="1252" x14ac:dyDescent="0.25"/>
    <row r="1253" x14ac:dyDescent="0.25"/>
    <row r="1254" x14ac:dyDescent="0.25"/>
    <row r="1255" x14ac:dyDescent="0.25"/>
    <row r="1256" x14ac:dyDescent="0.25"/>
    <row r="1257" x14ac:dyDescent="0.25"/>
  </sheetData>
  <autoFilter ref="A8:W110"/>
  <mergeCells count="29">
    <mergeCell ref="R7:T7"/>
    <mergeCell ref="N163:P163"/>
    <mergeCell ref="Q112:Q113"/>
    <mergeCell ref="R163:T163"/>
    <mergeCell ref="N7:P7"/>
    <mergeCell ref="Q7:Q8"/>
    <mergeCell ref="R112:T112"/>
    <mergeCell ref="Q163:Q164"/>
    <mergeCell ref="N112:P112"/>
    <mergeCell ref="A7:A8"/>
    <mergeCell ref="E163:E164"/>
    <mergeCell ref="F112:F113"/>
    <mergeCell ref="D112:D113"/>
    <mergeCell ref="B112:B113"/>
    <mergeCell ref="E112:E113"/>
    <mergeCell ref="B7:B8"/>
    <mergeCell ref="A163:A164"/>
    <mergeCell ref="F163:F164"/>
    <mergeCell ref="A112:A113"/>
    <mergeCell ref="D7:D8"/>
    <mergeCell ref="D163:D164"/>
    <mergeCell ref="B163:B164"/>
    <mergeCell ref="E7:F7"/>
    <mergeCell ref="J163:L163"/>
    <mergeCell ref="J7:L7"/>
    <mergeCell ref="J112:L112"/>
    <mergeCell ref="G112:I112"/>
    <mergeCell ref="G7:I7"/>
    <mergeCell ref="G163:I163"/>
  </mergeCells>
  <pageMargins left="0.34" right="0.70866141732283505" top="0.74803149606299202" bottom="0.74803149606299202" header="0.31496062992126" footer="0.31496062992126"/>
  <pageSetup paperSize="5" scale="59" orientation="landscape" r:id="rId1"/>
  <rowBreaks count="1" manualBreakCount="1">
    <brk id="111" max="20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O288"/>
  <sheetViews>
    <sheetView view="pageBreakPreview" topLeftCell="D262" zoomScale="130" zoomScaleNormal="100" zoomScaleSheetLayoutView="130" workbookViewId="0">
      <selection activeCell="H27" sqref="H27"/>
    </sheetView>
  </sheetViews>
  <sheetFormatPr defaultRowHeight="15" x14ac:dyDescent="0.25"/>
  <cols>
    <col min="1" max="1" width="12" customWidth="1"/>
    <col min="2" max="2" width="8.140625" style="316" customWidth="1"/>
    <col min="3" max="3" width="0" hidden="1" customWidth="1"/>
    <col min="4" max="4" width="43.7109375" customWidth="1"/>
    <col min="5" max="6" width="13.28515625" bestFit="1" customWidth="1"/>
    <col min="7" max="7" width="12.7109375" customWidth="1"/>
    <col min="8" max="8" width="13.28515625" bestFit="1" customWidth="1"/>
    <col min="9" max="9" width="12.7109375" customWidth="1"/>
    <col min="10" max="12" width="11.28515625" customWidth="1"/>
    <col min="14" max="14" width="31.7109375" customWidth="1"/>
    <col min="15" max="15" width="11.85546875" bestFit="1" customWidth="1"/>
  </cols>
  <sheetData>
    <row r="1" spans="1:12" x14ac:dyDescent="0.25">
      <c r="A1" s="30" t="s">
        <v>18</v>
      </c>
      <c r="B1" s="70"/>
      <c r="C1" s="68"/>
      <c r="D1" s="69"/>
      <c r="E1" s="1"/>
      <c r="G1" s="718"/>
      <c r="H1" s="716"/>
      <c r="J1" s="1"/>
    </row>
    <row r="2" spans="1:12" ht="19.5" x14ac:dyDescent="0.3">
      <c r="A2" s="2" t="s">
        <v>237</v>
      </c>
      <c r="B2" s="70"/>
      <c r="C2" s="68"/>
      <c r="D2" s="69"/>
      <c r="E2" s="1"/>
      <c r="G2" s="718"/>
      <c r="H2" s="716"/>
      <c r="I2" s="15"/>
      <c r="J2" s="1"/>
      <c r="K2" s="15"/>
    </row>
    <row r="3" spans="1:12" x14ac:dyDescent="0.25">
      <c r="A3" s="30" t="str">
        <f>'sum sp'!B3</f>
        <v>TAHUN ANGGARAN 2025</v>
      </c>
      <c r="B3" s="70"/>
      <c r="C3" s="68"/>
      <c r="D3" s="69"/>
      <c r="E3" s="1"/>
      <c r="G3" s="718"/>
      <c r="I3" s="15"/>
      <c r="J3" s="1"/>
      <c r="K3" s="15"/>
    </row>
    <row r="4" spans="1:12" ht="15.75" x14ac:dyDescent="0.25">
      <c r="A4" s="30" t="s">
        <v>414</v>
      </c>
      <c r="B4" s="70"/>
      <c r="C4" s="68"/>
      <c r="D4" s="69"/>
      <c r="E4" s="1"/>
      <c r="G4" s="719">
        <v>5457800</v>
      </c>
      <c r="I4" s="15"/>
      <c r="J4" s="1"/>
      <c r="K4" s="15"/>
    </row>
    <row r="5" spans="1:12" x14ac:dyDescent="0.25">
      <c r="B5" s="70"/>
      <c r="C5" s="68"/>
      <c r="D5" s="69"/>
      <c r="E5" s="1"/>
      <c r="G5" s="940"/>
    </row>
    <row r="6" spans="1:12" ht="16.5" customHeight="1" x14ac:dyDescent="0.25">
      <c r="A6" s="886" t="s">
        <v>19</v>
      </c>
      <c r="B6" s="886" t="s">
        <v>9</v>
      </c>
      <c r="C6" s="327" t="s">
        <v>197</v>
      </c>
      <c r="D6" s="899" t="s">
        <v>20</v>
      </c>
      <c r="E6" s="903" t="s">
        <v>357</v>
      </c>
      <c r="F6" s="904"/>
      <c r="G6" s="886" t="s">
        <v>0</v>
      </c>
      <c r="H6" s="886"/>
      <c r="I6" s="886"/>
      <c r="J6" s="886" t="s">
        <v>1</v>
      </c>
      <c r="K6" s="886"/>
      <c r="L6" s="886"/>
    </row>
    <row r="7" spans="1:12" ht="16.5" customHeight="1" x14ac:dyDescent="0.25">
      <c r="A7" s="887"/>
      <c r="B7" s="887"/>
      <c r="C7" s="328"/>
      <c r="D7" s="900"/>
      <c r="E7" s="75" t="s">
        <v>11</v>
      </c>
      <c r="F7" s="76" t="s">
        <v>12</v>
      </c>
      <c r="G7" s="326" t="s">
        <v>11</v>
      </c>
      <c r="H7" s="326" t="s">
        <v>12</v>
      </c>
      <c r="I7" s="326" t="s">
        <v>21</v>
      </c>
      <c r="J7" s="326" t="s">
        <v>11</v>
      </c>
      <c r="K7" s="326" t="s">
        <v>12</v>
      </c>
      <c r="L7" s="326" t="s">
        <v>21</v>
      </c>
    </row>
    <row r="8" spans="1:12" ht="12.75" customHeight="1" x14ac:dyDescent="0.25">
      <c r="A8" s="77">
        <v>45658</v>
      </c>
      <c r="B8" s="113"/>
      <c r="C8" s="7"/>
      <c r="D8" s="79" t="s">
        <v>749</v>
      </c>
      <c r="E8" s="425">
        <v>5457800</v>
      </c>
      <c r="F8" s="80"/>
      <c r="G8" s="425">
        <v>5457800</v>
      </c>
      <c r="H8" s="80"/>
      <c r="I8" s="80">
        <f>G8-H8</f>
        <v>5457800</v>
      </c>
      <c r="J8" s="496">
        <v>0</v>
      </c>
      <c r="K8" s="10"/>
      <c r="L8" s="80">
        <f>J8-K8</f>
        <v>0</v>
      </c>
    </row>
    <row r="9" spans="1:12" ht="12.75" customHeight="1" x14ac:dyDescent="0.25">
      <c r="A9" s="81" t="s">
        <v>757</v>
      </c>
      <c r="B9" s="713">
        <v>2001</v>
      </c>
      <c r="C9" s="7"/>
      <c r="D9" s="715" t="s">
        <v>750</v>
      </c>
      <c r="E9" s="715">
        <v>390000</v>
      </c>
      <c r="F9" s="80"/>
      <c r="G9" s="715">
        <v>390000</v>
      </c>
      <c r="H9" s="80"/>
      <c r="I9" s="80">
        <f>I8+G9-H9</f>
        <v>5847800</v>
      </c>
      <c r="J9" s="496"/>
      <c r="K9" s="10"/>
      <c r="L9" s="80"/>
    </row>
    <row r="10" spans="1:12" ht="12.75" customHeight="1" x14ac:dyDescent="0.25">
      <c r="A10" s="81" t="s">
        <v>757</v>
      </c>
      <c r="B10" s="414">
        <v>2001</v>
      </c>
      <c r="C10" s="7"/>
      <c r="D10" s="715" t="s">
        <v>600</v>
      </c>
      <c r="E10" s="715">
        <v>120000</v>
      </c>
      <c r="F10" s="82"/>
      <c r="G10" s="715">
        <v>120000</v>
      </c>
      <c r="H10" s="80"/>
      <c r="I10" s="80">
        <f t="shared" ref="I10:I13" si="0">I9+G10-H10</f>
        <v>5967800</v>
      </c>
      <c r="J10" s="555"/>
      <c r="K10" s="555"/>
      <c r="L10" s="80">
        <f>L8+J10-K10</f>
        <v>0</v>
      </c>
    </row>
    <row r="11" spans="1:12" ht="12.75" customHeight="1" x14ac:dyDescent="0.25">
      <c r="A11" s="81" t="s">
        <v>757</v>
      </c>
      <c r="B11" s="414">
        <v>2001</v>
      </c>
      <c r="C11" s="7"/>
      <c r="D11" s="715" t="s">
        <v>601</v>
      </c>
      <c r="E11" s="715">
        <v>120000</v>
      </c>
      <c r="F11" s="80"/>
      <c r="G11" s="715">
        <v>120000</v>
      </c>
      <c r="H11" s="80"/>
      <c r="I11" s="80">
        <f t="shared" si="0"/>
        <v>6087800</v>
      </c>
      <c r="J11" s="555"/>
      <c r="K11" s="555"/>
      <c r="L11" s="80">
        <f t="shared" ref="L11:L12" si="1">L10+J11-K11</f>
        <v>0</v>
      </c>
    </row>
    <row r="12" spans="1:12" ht="12.75" customHeight="1" x14ac:dyDescent="0.25">
      <c r="A12" s="81" t="s">
        <v>757</v>
      </c>
      <c r="B12" s="414">
        <v>2001</v>
      </c>
      <c r="C12" s="7"/>
      <c r="D12" s="715" t="s">
        <v>604</v>
      </c>
      <c r="E12" s="715">
        <v>220000</v>
      </c>
      <c r="F12" s="80"/>
      <c r="G12" s="715">
        <v>220000</v>
      </c>
      <c r="H12" s="80"/>
      <c r="I12" s="80">
        <f t="shared" si="0"/>
        <v>6307800</v>
      </c>
      <c r="J12" s="555"/>
      <c r="K12" s="555"/>
      <c r="L12" s="80">
        <f t="shared" si="1"/>
        <v>0</v>
      </c>
    </row>
    <row r="13" spans="1:12" ht="12.75" customHeight="1" x14ac:dyDescent="0.25">
      <c r="A13" s="81" t="s">
        <v>757</v>
      </c>
      <c r="B13" s="414">
        <v>2001</v>
      </c>
      <c r="C13" s="7"/>
      <c r="D13" s="715" t="s">
        <v>751</v>
      </c>
      <c r="E13" s="715">
        <v>120000</v>
      </c>
      <c r="F13" s="80"/>
      <c r="G13" s="715">
        <v>120000</v>
      </c>
      <c r="H13" s="80"/>
      <c r="I13" s="80">
        <f t="shared" si="0"/>
        <v>6427800</v>
      </c>
      <c r="J13" s="555"/>
      <c r="K13" s="555"/>
      <c r="L13" s="80"/>
    </row>
    <row r="14" spans="1:12" ht="12.75" customHeight="1" x14ac:dyDescent="0.25">
      <c r="A14" s="81" t="s">
        <v>757</v>
      </c>
      <c r="B14" s="414">
        <v>2001</v>
      </c>
      <c r="C14" s="7"/>
      <c r="D14" s="715" t="s">
        <v>598</v>
      </c>
      <c r="E14" s="715">
        <v>120000</v>
      </c>
      <c r="F14" s="80"/>
      <c r="G14" s="715">
        <v>120000</v>
      </c>
      <c r="H14" s="80"/>
      <c r="I14" s="80">
        <f t="shared" ref="I14:I26" si="2">I13+G14-H14</f>
        <v>6547800</v>
      </c>
      <c r="J14" s="555"/>
      <c r="K14" s="555"/>
      <c r="L14" s="80"/>
    </row>
    <row r="15" spans="1:12" ht="12.75" customHeight="1" x14ac:dyDescent="0.25">
      <c r="A15" s="81" t="s">
        <v>757</v>
      </c>
      <c r="B15" s="414">
        <v>2001</v>
      </c>
      <c r="C15" s="7"/>
      <c r="D15" s="715" t="s">
        <v>599</v>
      </c>
      <c r="E15" s="715">
        <v>120000</v>
      </c>
      <c r="F15" s="80"/>
      <c r="G15" s="715">
        <v>120000</v>
      </c>
      <c r="H15" s="80"/>
      <c r="I15" s="80">
        <f t="shared" si="2"/>
        <v>6667800</v>
      </c>
      <c r="J15" s="555"/>
      <c r="K15" s="555"/>
      <c r="L15" s="80"/>
    </row>
    <row r="16" spans="1:12" ht="12.75" customHeight="1" x14ac:dyDescent="0.25">
      <c r="A16" s="81" t="s">
        <v>757</v>
      </c>
      <c r="B16" s="414">
        <v>2001</v>
      </c>
      <c r="C16" s="7"/>
      <c r="D16" s="715" t="s">
        <v>693</v>
      </c>
      <c r="E16" s="715">
        <v>120000</v>
      </c>
      <c r="F16" s="80"/>
      <c r="G16" s="715">
        <v>120000</v>
      </c>
      <c r="H16" s="80"/>
      <c r="I16" s="80">
        <f t="shared" si="2"/>
        <v>6787800</v>
      </c>
      <c r="J16" s="555"/>
      <c r="K16" s="555"/>
      <c r="L16" s="80"/>
    </row>
    <row r="17" spans="1:15" ht="12.75" customHeight="1" x14ac:dyDescent="0.25">
      <c r="A17" s="81" t="s">
        <v>757</v>
      </c>
      <c r="B17" s="414">
        <v>2001</v>
      </c>
      <c r="C17" s="7"/>
      <c r="D17" s="715" t="s">
        <v>696</v>
      </c>
      <c r="E17" s="715">
        <v>120000</v>
      </c>
      <c r="F17" s="80"/>
      <c r="G17" s="715">
        <v>120000</v>
      </c>
      <c r="H17" s="80"/>
      <c r="I17" s="80">
        <f t="shared" si="2"/>
        <v>6907800</v>
      </c>
      <c r="J17" s="555"/>
      <c r="K17" s="555"/>
      <c r="L17" s="80"/>
    </row>
    <row r="18" spans="1:15" ht="12.75" customHeight="1" x14ac:dyDescent="0.25">
      <c r="A18" s="81" t="s">
        <v>757</v>
      </c>
      <c r="B18" s="414">
        <v>2001</v>
      </c>
      <c r="C18" s="7"/>
      <c r="D18" s="715" t="s">
        <v>602</v>
      </c>
      <c r="E18" s="715">
        <v>220000</v>
      </c>
      <c r="F18" s="80"/>
      <c r="G18" s="715">
        <v>220000</v>
      </c>
      <c r="H18" s="80"/>
      <c r="I18" s="80">
        <f t="shared" si="2"/>
        <v>7127800</v>
      </c>
      <c r="J18" s="555"/>
      <c r="K18" s="555"/>
      <c r="L18" s="80"/>
    </row>
    <row r="19" spans="1:15" ht="12.75" customHeight="1" x14ac:dyDescent="0.25">
      <c r="A19" s="81" t="s">
        <v>757</v>
      </c>
      <c r="B19" s="713">
        <v>2002</v>
      </c>
      <c r="C19" s="7"/>
      <c r="D19" s="764" t="s">
        <v>752</v>
      </c>
      <c r="E19" s="764">
        <v>350000</v>
      </c>
      <c r="F19" s="555"/>
      <c r="G19" s="764">
        <v>350000</v>
      </c>
      <c r="H19" s="555"/>
      <c r="I19" s="80">
        <f t="shared" si="2"/>
        <v>7477800</v>
      </c>
      <c r="J19" s="555"/>
      <c r="K19" s="555"/>
      <c r="L19" s="80"/>
    </row>
    <row r="20" spans="1:15" ht="12.75" customHeight="1" x14ac:dyDescent="0.25">
      <c r="A20" s="81" t="s">
        <v>757</v>
      </c>
      <c r="B20" s="414">
        <v>2001</v>
      </c>
      <c r="C20" s="487"/>
      <c r="D20" s="764" t="s">
        <v>724</v>
      </c>
      <c r="E20" s="764">
        <v>100000</v>
      </c>
      <c r="F20" s="555"/>
      <c r="G20" s="764">
        <v>100000</v>
      </c>
      <c r="H20" s="555"/>
      <c r="I20" s="80">
        <f t="shared" si="2"/>
        <v>7577800</v>
      </c>
      <c r="J20" s="10"/>
      <c r="K20" s="10"/>
      <c r="L20" s="80"/>
    </row>
    <row r="21" spans="1:15" ht="12.75" customHeight="1" x14ac:dyDescent="0.25">
      <c r="A21" s="81" t="s">
        <v>757</v>
      </c>
      <c r="B21" s="414">
        <v>2001</v>
      </c>
      <c r="C21" s="7"/>
      <c r="D21" s="764" t="s">
        <v>753</v>
      </c>
      <c r="E21" s="764">
        <v>120000</v>
      </c>
      <c r="F21" s="555"/>
      <c r="G21" s="764">
        <v>120000</v>
      </c>
      <c r="H21" s="555"/>
      <c r="I21" s="80">
        <f t="shared" si="2"/>
        <v>7697800</v>
      </c>
      <c r="J21" s="10"/>
      <c r="K21" s="655"/>
      <c r="L21" s="80"/>
    </row>
    <row r="22" spans="1:15" ht="12.75" customHeight="1" x14ac:dyDescent="0.25">
      <c r="A22" s="81" t="s">
        <v>757</v>
      </c>
      <c r="B22" s="713">
        <v>5104</v>
      </c>
      <c r="C22" s="7"/>
      <c r="D22" s="717" t="s">
        <v>605</v>
      </c>
      <c r="E22" s="717"/>
      <c r="F22" s="717">
        <v>210000</v>
      </c>
      <c r="G22" s="655"/>
      <c r="H22" s="717">
        <v>210000</v>
      </c>
      <c r="I22" s="80">
        <f t="shared" si="2"/>
        <v>7487800</v>
      </c>
      <c r="J22" s="10"/>
      <c r="K22" s="655"/>
      <c r="L22" s="80"/>
    </row>
    <row r="23" spans="1:15" ht="12.75" customHeight="1" x14ac:dyDescent="0.25">
      <c r="A23" s="81" t="s">
        <v>757</v>
      </c>
      <c r="B23" s="713">
        <v>5109</v>
      </c>
      <c r="C23" s="7"/>
      <c r="D23" s="717" t="s">
        <v>754</v>
      </c>
      <c r="E23" s="717"/>
      <c r="F23" s="717">
        <v>100000</v>
      </c>
      <c r="G23" s="655"/>
      <c r="H23" s="717">
        <v>100000</v>
      </c>
      <c r="I23" s="80">
        <f t="shared" si="2"/>
        <v>7387800</v>
      </c>
      <c r="J23" s="10"/>
      <c r="K23" s="655"/>
      <c r="L23" s="80"/>
    </row>
    <row r="24" spans="1:15" ht="12.75" customHeight="1" x14ac:dyDescent="0.25">
      <c r="A24" s="81" t="s">
        <v>757</v>
      </c>
      <c r="B24" s="713">
        <v>5105</v>
      </c>
      <c r="C24" s="7"/>
      <c r="D24" s="717" t="s">
        <v>694</v>
      </c>
      <c r="E24" s="717"/>
      <c r="F24" s="717">
        <v>247000</v>
      </c>
      <c r="G24" s="655"/>
      <c r="H24" s="717">
        <v>247000</v>
      </c>
      <c r="I24" s="80">
        <f t="shared" si="2"/>
        <v>7140800</v>
      </c>
      <c r="J24" s="10"/>
      <c r="K24" s="655"/>
      <c r="L24" s="80"/>
    </row>
    <row r="25" spans="1:15" ht="12.75" customHeight="1" x14ac:dyDescent="0.25">
      <c r="A25" s="81" t="s">
        <v>757</v>
      </c>
      <c r="B25" s="713">
        <v>5106</v>
      </c>
      <c r="C25" s="7"/>
      <c r="D25" s="717" t="s">
        <v>755</v>
      </c>
      <c r="E25" s="717"/>
      <c r="F25" s="717">
        <v>300000</v>
      </c>
      <c r="G25" s="655"/>
      <c r="H25" s="717">
        <v>300000</v>
      </c>
      <c r="I25" s="80">
        <f t="shared" si="2"/>
        <v>6840800</v>
      </c>
      <c r="J25" s="10"/>
      <c r="K25" s="655"/>
      <c r="L25" s="80"/>
    </row>
    <row r="26" spans="1:15" ht="12.75" customHeight="1" x14ac:dyDescent="0.25">
      <c r="A26" s="81" t="s">
        <v>757</v>
      </c>
      <c r="B26" s="713">
        <v>5109</v>
      </c>
      <c r="C26" s="7"/>
      <c r="D26" s="717" t="s">
        <v>756</v>
      </c>
      <c r="E26" s="557"/>
      <c r="F26" s="717">
        <v>15000</v>
      </c>
      <c r="G26" s="80"/>
      <c r="H26" s="717">
        <v>15000</v>
      </c>
      <c r="I26" s="80">
        <f t="shared" si="2"/>
        <v>6825800</v>
      </c>
      <c r="J26" s="10"/>
      <c r="K26" s="10"/>
      <c r="L26" s="80"/>
      <c r="N26" s="486" t="s">
        <v>603</v>
      </c>
      <c r="O26" s="486">
        <v>45000</v>
      </c>
    </row>
    <row r="27" spans="1:15" ht="12.75" customHeight="1" x14ac:dyDescent="0.25">
      <c r="A27" s="86"/>
      <c r="B27" s="714"/>
      <c r="C27" s="87"/>
      <c r="D27" s="88" t="s">
        <v>63</v>
      </c>
      <c r="E27" s="89">
        <f>SUM(E9:E26)</f>
        <v>2240000</v>
      </c>
      <c r="F27" s="89">
        <f>SUM(F9:F26)</f>
        <v>872000</v>
      </c>
      <c r="G27" s="89">
        <f>SUM(G9:G26)</f>
        <v>2240000</v>
      </c>
      <c r="H27" s="89">
        <f>SUM(H9:H26)</f>
        <v>872000</v>
      </c>
      <c r="I27" s="90"/>
      <c r="J27" s="90">
        <f>SUM(J10:J26)</f>
        <v>0</v>
      </c>
      <c r="K27" s="90">
        <f>SUM(K10:K26)</f>
        <v>0</v>
      </c>
      <c r="L27" s="90"/>
    </row>
    <row r="28" spans="1:15" ht="12.75" customHeight="1" x14ac:dyDescent="0.25">
      <c r="A28" s="86"/>
      <c r="B28" s="714"/>
      <c r="C28" s="87"/>
      <c r="D28" s="88" t="s">
        <v>64</v>
      </c>
      <c r="E28" s="89">
        <f>E8+E27</f>
        <v>7697800</v>
      </c>
      <c r="F28" s="89">
        <f>F8+F27</f>
        <v>872000</v>
      </c>
      <c r="G28" s="89">
        <f>G8+G27</f>
        <v>7697800</v>
      </c>
      <c r="H28" s="89">
        <f>H8+H27</f>
        <v>872000</v>
      </c>
      <c r="I28" s="90"/>
      <c r="J28" s="90">
        <f>J8+J27</f>
        <v>0</v>
      </c>
      <c r="K28" s="90">
        <f>K8+K27</f>
        <v>0</v>
      </c>
      <c r="L28" s="90"/>
    </row>
    <row r="29" spans="1:15" ht="12.75" customHeight="1" x14ac:dyDescent="0.25">
      <c r="A29" s="86"/>
      <c r="B29" s="714"/>
      <c r="C29" s="87"/>
      <c r="D29" s="88" t="s">
        <v>65</v>
      </c>
      <c r="E29" s="89">
        <f>E28-F28</f>
        <v>6825800</v>
      </c>
      <c r="F29" s="86"/>
      <c r="G29" s="89">
        <f>G28-H28</f>
        <v>6825800</v>
      </c>
      <c r="H29" s="86"/>
      <c r="I29" s="86"/>
      <c r="J29" s="90">
        <f>J28-K28</f>
        <v>0</v>
      </c>
      <c r="K29" s="86"/>
      <c r="L29" s="86"/>
    </row>
    <row r="30" spans="1:15" ht="12.75" customHeight="1" x14ac:dyDescent="0.25"/>
    <row r="31" spans="1:15" ht="12.75" customHeight="1" x14ac:dyDescent="0.25">
      <c r="A31" s="886" t="s">
        <v>19</v>
      </c>
      <c r="B31" s="886" t="s">
        <v>9</v>
      </c>
      <c r="C31" s="327" t="s">
        <v>197</v>
      </c>
      <c r="D31" s="899" t="s">
        <v>20</v>
      </c>
      <c r="E31" s="903" t="s">
        <v>357</v>
      </c>
      <c r="F31" s="904"/>
      <c r="G31" s="886" t="s">
        <v>0</v>
      </c>
      <c r="H31" s="886"/>
      <c r="I31" s="886"/>
      <c r="J31" s="886" t="s">
        <v>1</v>
      </c>
      <c r="K31" s="886"/>
      <c r="L31" s="886"/>
    </row>
    <row r="32" spans="1:15" ht="12.75" customHeight="1" x14ac:dyDescent="0.25">
      <c r="A32" s="887"/>
      <c r="B32" s="887"/>
      <c r="C32" s="328"/>
      <c r="D32" s="900"/>
      <c r="E32" s="75" t="s">
        <v>11</v>
      </c>
      <c r="F32" s="76" t="s">
        <v>12</v>
      </c>
      <c r="G32" s="326" t="s">
        <v>11</v>
      </c>
      <c r="H32" s="326" t="s">
        <v>12</v>
      </c>
      <c r="I32" s="326" t="s">
        <v>21</v>
      </c>
      <c r="J32" s="326" t="s">
        <v>11</v>
      </c>
      <c r="K32" s="326" t="s">
        <v>12</v>
      </c>
      <c r="L32" s="326" t="s">
        <v>21</v>
      </c>
    </row>
    <row r="33" spans="1:12" ht="12.75" customHeight="1" x14ac:dyDescent="0.25">
      <c r="A33" s="77" t="s">
        <v>827</v>
      </c>
      <c r="B33" s="113"/>
      <c r="C33" s="7"/>
      <c r="D33" s="79" t="s">
        <v>415</v>
      </c>
      <c r="E33" s="11">
        <f>E29</f>
        <v>6825800</v>
      </c>
      <c r="F33" s="80"/>
      <c r="G33" s="496">
        <f>G29</f>
        <v>6825800</v>
      </c>
      <c r="H33" s="80"/>
      <c r="I33" s="80">
        <f>G33-H33</f>
        <v>6825800</v>
      </c>
      <c r="J33" s="496">
        <f>J29</f>
        <v>0</v>
      </c>
      <c r="K33" s="10"/>
      <c r="L33" s="80">
        <f>J33-K33</f>
        <v>0</v>
      </c>
    </row>
    <row r="34" spans="1:12" ht="12.75" customHeight="1" x14ac:dyDescent="0.25">
      <c r="A34" s="81" t="s">
        <v>762</v>
      </c>
      <c r="B34" s="113">
        <v>2001</v>
      </c>
      <c r="C34" s="7"/>
      <c r="D34" s="720" t="s">
        <v>696</v>
      </c>
      <c r="E34" s="720">
        <v>120000</v>
      </c>
      <c r="F34" s="82"/>
      <c r="G34" s="720">
        <v>120000</v>
      </c>
      <c r="H34" s="80"/>
      <c r="I34" s="80">
        <f>I33+G34-H34</f>
        <v>6945800</v>
      </c>
      <c r="J34" s="10"/>
      <c r="K34" s="83"/>
      <c r="L34" s="80">
        <f>L33+J34-K34</f>
        <v>0</v>
      </c>
    </row>
    <row r="35" spans="1:12" ht="12.75" customHeight="1" x14ac:dyDescent="0.25">
      <c r="A35" s="81" t="s">
        <v>762</v>
      </c>
      <c r="B35" s="113">
        <v>2001</v>
      </c>
      <c r="C35" s="7"/>
      <c r="D35" s="720" t="s">
        <v>600</v>
      </c>
      <c r="E35" s="720">
        <v>120000</v>
      </c>
      <c r="F35" s="80"/>
      <c r="G35" s="720">
        <v>120000</v>
      </c>
      <c r="H35" s="80"/>
      <c r="I35" s="80">
        <f t="shared" ref="I35:I49" si="3">I34+G35-H35</f>
        <v>7065800</v>
      </c>
      <c r="J35" s="10"/>
      <c r="K35" s="10"/>
      <c r="L35" s="80">
        <f t="shared" ref="L35:L49" si="4">L34+J35-K35</f>
        <v>0</v>
      </c>
    </row>
    <row r="36" spans="1:12" ht="12.75" customHeight="1" x14ac:dyDescent="0.25">
      <c r="A36" s="81" t="s">
        <v>762</v>
      </c>
      <c r="B36" s="713">
        <v>2002</v>
      </c>
      <c r="C36" s="7"/>
      <c r="D36" s="720" t="s">
        <v>758</v>
      </c>
      <c r="E36" s="720">
        <v>1600000</v>
      </c>
      <c r="F36" s="80"/>
      <c r="G36" s="720">
        <v>1600000</v>
      </c>
      <c r="H36" s="80"/>
      <c r="I36" s="80">
        <f t="shared" si="3"/>
        <v>8665800</v>
      </c>
      <c r="J36" s="10"/>
      <c r="K36" s="10"/>
      <c r="L36" s="80">
        <f t="shared" si="4"/>
        <v>0</v>
      </c>
    </row>
    <row r="37" spans="1:12" ht="12.75" customHeight="1" x14ac:dyDescent="0.25">
      <c r="A37" s="81" t="s">
        <v>762</v>
      </c>
      <c r="B37" s="713">
        <v>2002</v>
      </c>
      <c r="C37" s="7"/>
      <c r="D37" s="720" t="s">
        <v>759</v>
      </c>
      <c r="E37" s="720">
        <v>100000</v>
      </c>
      <c r="F37" s="80"/>
      <c r="G37" s="720">
        <v>100000</v>
      </c>
      <c r="H37" s="80"/>
      <c r="I37" s="80">
        <f t="shared" si="3"/>
        <v>8765800</v>
      </c>
      <c r="J37" s="10"/>
      <c r="K37" s="10"/>
      <c r="L37" s="80">
        <f t="shared" si="4"/>
        <v>0</v>
      </c>
    </row>
    <row r="38" spans="1:12" ht="12.75" customHeight="1" x14ac:dyDescent="0.25">
      <c r="A38" s="81" t="s">
        <v>762</v>
      </c>
      <c r="B38" s="113">
        <v>2001</v>
      </c>
      <c r="C38" s="7"/>
      <c r="D38" s="720" t="s">
        <v>601</v>
      </c>
      <c r="E38" s="720">
        <v>120000</v>
      </c>
      <c r="F38" s="80"/>
      <c r="G38" s="720">
        <v>120000</v>
      </c>
      <c r="H38" s="80"/>
      <c r="I38" s="80">
        <f t="shared" si="3"/>
        <v>8885800</v>
      </c>
      <c r="J38" s="10"/>
      <c r="K38" s="10"/>
      <c r="L38" s="80">
        <f t="shared" si="4"/>
        <v>0</v>
      </c>
    </row>
    <row r="39" spans="1:12" ht="12.75" customHeight="1" x14ac:dyDescent="0.25">
      <c r="A39" s="81" t="s">
        <v>762</v>
      </c>
      <c r="B39" s="113">
        <v>2001</v>
      </c>
      <c r="C39" s="7"/>
      <c r="D39" s="720" t="s">
        <v>724</v>
      </c>
      <c r="E39" s="720">
        <v>100000</v>
      </c>
      <c r="F39" s="80"/>
      <c r="G39" s="720">
        <v>100000</v>
      </c>
      <c r="H39" s="80"/>
      <c r="I39" s="80">
        <f t="shared" si="3"/>
        <v>8985800</v>
      </c>
      <c r="J39" s="10"/>
      <c r="K39" s="10"/>
      <c r="L39" s="80">
        <f t="shared" si="4"/>
        <v>0</v>
      </c>
    </row>
    <row r="40" spans="1:12" ht="12.75" customHeight="1" x14ac:dyDescent="0.25">
      <c r="A40" s="81" t="s">
        <v>762</v>
      </c>
      <c r="B40" s="113">
        <v>2001</v>
      </c>
      <c r="C40" s="7"/>
      <c r="D40" s="720" t="s">
        <v>602</v>
      </c>
      <c r="E40" s="720">
        <v>120000</v>
      </c>
      <c r="F40" s="80"/>
      <c r="G40" s="720">
        <v>120000</v>
      </c>
      <c r="H40" s="80"/>
      <c r="I40" s="80">
        <f t="shared" si="3"/>
        <v>9105800</v>
      </c>
      <c r="J40" s="10"/>
      <c r="K40" s="10"/>
      <c r="L40" s="80">
        <f t="shared" si="4"/>
        <v>0</v>
      </c>
    </row>
    <row r="41" spans="1:12" ht="12.75" customHeight="1" x14ac:dyDescent="0.25">
      <c r="A41" s="81" t="s">
        <v>762</v>
      </c>
      <c r="B41" s="113">
        <v>2001</v>
      </c>
      <c r="C41" s="7"/>
      <c r="D41" s="720" t="s">
        <v>598</v>
      </c>
      <c r="E41" s="720">
        <v>120000</v>
      </c>
      <c r="F41" s="80"/>
      <c r="G41" s="720">
        <v>120000</v>
      </c>
      <c r="H41" s="80"/>
      <c r="I41" s="80">
        <f t="shared" si="3"/>
        <v>9225800</v>
      </c>
      <c r="J41" s="10"/>
      <c r="K41" s="10"/>
      <c r="L41" s="80">
        <f t="shared" si="4"/>
        <v>0</v>
      </c>
    </row>
    <row r="42" spans="1:12" ht="12.75" customHeight="1" x14ac:dyDescent="0.25">
      <c r="A42" s="81" t="s">
        <v>762</v>
      </c>
      <c r="B42" s="113">
        <v>2001</v>
      </c>
      <c r="C42" s="7"/>
      <c r="D42" s="720" t="s">
        <v>693</v>
      </c>
      <c r="E42" s="720">
        <v>120000</v>
      </c>
      <c r="F42" s="80"/>
      <c r="G42" s="720">
        <v>120000</v>
      </c>
      <c r="H42" s="80"/>
      <c r="I42" s="80">
        <f t="shared" si="3"/>
        <v>9345800</v>
      </c>
      <c r="J42" s="10"/>
      <c r="K42" s="10"/>
      <c r="L42" s="80">
        <f t="shared" si="4"/>
        <v>0</v>
      </c>
    </row>
    <row r="43" spans="1:12" ht="12.75" customHeight="1" x14ac:dyDescent="0.25">
      <c r="A43" s="81" t="s">
        <v>762</v>
      </c>
      <c r="B43" s="113">
        <v>2001</v>
      </c>
      <c r="C43" s="7"/>
      <c r="D43" s="720" t="s">
        <v>750</v>
      </c>
      <c r="E43" s="720">
        <v>180000</v>
      </c>
      <c r="F43" s="80"/>
      <c r="G43" s="720">
        <v>180000</v>
      </c>
      <c r="H43" s="80"/>
      <c r="I43" s="80">
        <f t="shared" si="3"/>
        <v>9525800</v>
      </c>
      <c r="J43" s="10"/>
      <c r="K43" s="10"/>
      <c r="L43" s="80">
        <f t="shared" si="4"/>
        <v>0</v>
      </c>
    </row>
    <row r="44" spans="1:12" ht="12.75" customHeight="1" x14ac:dyDescent="0.25">
      <c r="A44" s="81" t="s">
        <v>762</v>
      </c>
      <c r="B44" s="113">
        <v>2001</v>
      </c>
      <c r="C44" s="7"/>
      <c r="D44" s="720" t="s">
        <v>760</v>
      </c>
      <c r="E44" s="720">
        <v>120000</v>
      </c>
      <c r="F44" s="80"/>
      <c r="G44" s="720">
        <v>120000</v>
      </c>
      <c r="H44" s="80"/>
      <c r="I44" s="80">
        <f t="shared" si="3"/>
        <v>9645800</v>
      </c>
      <c r="J44" s="10"/>
      <c r="K44" s="10"/>
      <c r="L44" s="80">
        <f t="shared" si="4"/>
        <v>0</v>
      </c>
    </row>
    <row r="45" spans="1:12" ht="12.75" customHeight="1" x14ac:dyDescent="0.25">
      <c r="A45" s="81" t="s">
        <v>762</v>
      </c>
      <c r="B45" s="113">
        <v>2001</v>
      </c>
      <c r="C45" s="7"/>
      <c r="D45" s="720" t="s">
        <v>753</v>
      </c>
      <c r="E45" s="720">
        <v>120000</v>
      </c>
      <c r="F45" s="80"/>
      <c r="G45" s="720">
        <v>120000</v>
      </c>
      <c r="H45" s="80"/>
      <c r="I45" s="80">
        <f t="shared" si="3"/>
        <v>9765800</v>
      </c>
      <c r="J45" s="10"/>
      <c r="K45" s="10"/>
      <c r="L45" s="80">
        <f t="shared" si="4"/>
        <v>0</v>
      </c>
    </row>
    <row r="46" spans="1:12" ht="12.75" customHeight="1" x14ac:dyDescent="0.25">
      <c r="A46" s="81" t="s">
        <v>762</v>
      </c>
      <c r="B46" s="113">
        <v>2001</v>
      </c>
      <c r="C46" s="7"/>
      <c r="D46" s="720" t="s">
        <v>604</v>
      </c>
      <c r="E46" s="720">
        <v>120000</v>
      </c>
      <c r="F46" s="80"/>
      <c r="G46" s="720">
        <v>120000</v>
      </c>
      <c r="H46" s="80"/>
      <c r="I46" s="80">
        <f t="shared" si="3"/>
        <v>9885800</v>
      </c>
      <c r="J46" s="10"/>
      <c r="K46" s="10"/>
      <c r="L46" s="80">
        <f t="shared" si="4"/>
        <v>0</v>
      </c>
    </row>
    <row r="47" spans="1:12" ht="12.75" customHeight="1" x14ac:dyDescent="0.25">
      <c r="A47" s="81" t="s">
        <v>762</v>
      </c>
      <c r="B47" s="713">
        <v>2002</v>
      </c>
      <c r="C47" s="7"/>
      <c r="D47" s="720" t="s">
        <v>761</v>
      </c>
      <c r="E47" s="720">
        <v>200000</v>
      </c>
      <c r="F47" s="80"/>
      <c r="G47" s="720">
        <v>200000</v>
      </c>
      <c r="H47" s="80"/>
      <c r="I47" s="80">
        <f t="shared" si="3"/>
        <v>10085800</v>
      </c>
      <c r="J47" s="10"/>
      <c r="K47" s="10"/>
      <c r="L47" s="80">
        <f t="shared" si="4"/>
        <v>0</v>
      </c>
    </row>
    <row r="48" spans="1:12" ht="12.75" customHeight="1" x14ac:dyDescent="0.25">
      <c r="A48" s="81" t="s">
        <v>762</v>
      </c>
      <c r="B48" s="713">
        <v>5104</v>
      </c>
      <c r="C48" s="7"/>
      <c r="D48" s="721" t="s">
        <v>605</v>
      </c>
      <c r="E48" s="721"/>
      <c r="F48" s="721">
        <v>105000</v>
      </c>
      <c r="G48" s="555"/>
      <c r="H48" s="721">
        <v>105000</v>
      </c>
      <c r="I48" s="80">
        <f t="shared" si="3"/>
        <v>9980800</v>
      </c>
      <c r="J48" s="10"/>
      <c r="K48" s="10"/>
      <c r="L48" s="80">
        <f t="shared" si="4"/>
        <v>0</v>
      </c>
    </row>
    <row r="49" spans="1:12" ht="12.75" customHeight="1" x14ac:dyDescent="0.25">
      <c r="A49" s="81" t="s">
        <v>762</v>
      </c>
      <c r="B49" s="713">
        <v>3001</v>
      </c>
      <c r="C49" s="7"/>
      <c r="D49" s="721" t="s">
        <v>692</v>
      </c>
      <c r="E49" s="721"/>
      <c r="F49" s="721">
        <v>1000000</v>
      </c>
      <c r="G49" s="655"/>
      <c r="H49" s="721">
        <v>1000000</v>
      </c>
      <c r="I49" s="80">
        <f t="shared" si="3"/>
        <v>8980800</v>
      </c>
      <c r="J49" s="10"/>
      <c r="K49" s="10"/>
      <c r="L49" s="80">
        <f t="shared" si="4"/>
        <v>0</v>
      </c>
    </row>
    <row r="50" spans="1:12" ht="12.75" customHeight="1" x14ac:dyDescent="0.25">
      <c r="A50" s="86"/>
      <c r="B50" s="714"/>
      <c r="C50" s="87"/>
      <c r="D50" s="88" t="s">
        <v>63</v>
      </c>
      <c r="E50" s="89">
        <f>SUM(E34:E49)</f>
        <v>3260000</v>
      </c>
      <c r="F50" s="89">
        <f>SUM(F34:F49)</f>
        <v>1105000</v>
      </c>
      <c r="G50" s="89">
        <f>SUM(G34:G49)</f>
        <v>3260000</v>
      </c>
      <c r="H50" s="89">
        <f>SUM(H34:H49)</f>
        <v>1105000</v>
      </c>
      <c r="I50" s="90"/>
      <c r="J50" s="90">
        <f>SUM(J34:J49)</f>
        <v>0</v>
      </c>
      <c r="K50" s="90">
        <f>SUM(K34:K49)</f>
        <v>0</v>
      </c>
      <c r="L50" s="90"/>
    </row>
    <row r="51" spans="1:12" ht="12.75" customHeight="1" x14ac:dyDescent="0.25">
      <c r="A51" s="86"/>
      <c r="B51" s="714"/>
      <c r="C51" s="87"/>
      <c r="D51" s="88" t="s">
        <v>64</v>
      </c>
      <c r="E51" s="89">
        <f>E33+E50</f>
        <v>10085800</v>
      </c>
      <c r="F51" s="89">
        <f>F33+F50</f>
        <v>1105000</v>
      </c>
      <c r="G51" s="89">
        <f>G33+G50</f>
        <v>10085800</v>
      </c>
      <c r="H51" s="89">
        <f>H33+H50</f>
        <v>1105000</v>
      </c>
      <c r="I51" s="90"/>
      <c r="J51" s="90">
        <f>J33+J50</f>
        <v>0</v>
      </c>
      <c r="K51" s="90">
        <f>K33+K50</f>
        <v>0</v>
      </c>
      <c r="L51" s="90"/>
    </row>
    <row r="52" spans="1:12" ht="12.75" customHeight="1" x14ac:dyDescent="0.25">
      <c r="A52" s="86"/>
      <c r="B52" s="714"/>
      <c r="C52" s="87"/>
      <c r="D52" s="88" t="s">
        <v>65</v>
      </c>
      <c r="E52" s="89">
        <f>E51-F51</f>
        <v>8980800</v>
      </c>
      <c r="F52" s="86"/>
      <c r="G52" s="89">
        <f>G51-H51</f>
        <v>8980800</v>
      </c>
      <c r="H52" s="86"/>
      <c r="I52" s="86"/>
      <c r="J52" s="90">
        <f>J51-K51</f>
        <v>0</v>
      </c>
      <c r="K52" s="86"/>
      <c r="L52" s="86"/>
    </row>
    <row r="53" spans="1:12" ht="12.75" customHeight="1" x14ac:dyDescent="0.25"/>
    <row r="54" spans="1:12" ht="12.75" customHeight="1" x14ac:dyDescent="0.25">
      <c r="A54" s="886" t="s">
        <v>19</v>
      </c>
      <c r="B54" s="886" t="s">
        <v>9</v>
      </c>
      <c r="C54" s="327" t="s">
        <v>197</v>
      </c>
      <c r="D54" s="899" t="s">
        <v>20</v>
      </c>
      <c r="E54" s="903" t="s">
        <v>357</v>
      </c>
      <c r="F54" s="904"/>
      <c r="G54" s="886" t="s">
        <v>0</v>
      </c>
      <c r="H54" s="886"/>
      <c r="I54" s="886"/>
      <c r="J54" s="886" t="s">
        <v>1</v>
      </c>
      <c r="K54" s="886"/>
      <c r="L54" s="886"/>
    </row>
    <row r="55" spans="1:12" ht="12.75" customHeight="1" x14ac:dyDescent="0.25">
      <c r="A55" s="887"/>
      <c r="B55" s="887"/>
      <c r="C55" s="328"/>
      <c r="D55" s="900"/>
      <c r="E55" s="75" t="s">
        <v>11</v>
      </c>
      <c r="F55" s="76" t="s">
        <v>12</v>
      </c>
      <c r="G55" s="326" t="s">
        <v>11</v>
      </c>
      <c r="H55" s="326" t="s">
        <v>12</v>
      </c>
      <c r="I55" s="326" t="s">
        <v>21</v>
      </c>
      <c r="J55" s="326" t="s">
        <v>11</v>
      </c>
      <c r="K55" s="326" t="s">
        <v>12</v>
      </c>
      <c r="L55" s="326" t="s">
        <v>21</v>
      </c>
    </row>
    <row r="56" spans="1:12" ht="12.75" customHeight="1" x14ac:dyDescent="0.25">
      <c r="A56" s="77">
        <v>45660</v>
      </c>
      <c r="B56" s="113"/>
      <c r="C56" s="7"/>
      <c r="D56" s="79" t="s">
        <v>416</v>
      </c>
      <c r="E56" s="11">
        <f>E52</f>
        <v>8980800</v>
      </c>
      <c r="F56" s="80"/>
      <c r="G56" s="11">
        <f>G52</f>
        <v>8980800</v>
      </c>
      <c r="H56" s="80"/>
      <c r="I56" s="80">
        <f>G56-H56</f>
        <v>8980800</v>
      </c>
      <c r="J56" s="11">
        <f>J52</f>
        <v>0</v>
      </c>
      <c r="K56" s="10"/>
      <c r="L56" s="80">
        <f>J56-K56</f>
        <v>0</v>
      </c>
    </row>
    <row r="57" spans="1:12" ht="12.75" customHeight="1" x14ac:dyDescent="0.25">
      <c r="A57" s="81" t="s">
        <v>763</v>
      </c>
      <c r="B57" s="113">
        <v>2002</v>
      </c>
      <c r="C57" s="7"/>
      <c r="D57" s="722" t="s">
        <v>721</v>
      </c>
      <c r="E57" s="722">
        <v>800000</v>
      </c>
      <c r="F57" s="82"/>
      <c r="G57" s="722">
        <v>800000</v>
      </c>
      <c r="H57" s="80"/>
      <c r="I57" s="80">
        <f>I56+G57-H57</f>
        <v>9780800</v>
      </c>
      <c r="J57" s="10"/>
      <c r="K57" s="83"/>
      <c r="L57" s="80">
        <f>L56+J57-K57</f>
        <v>0</v>
      </c>
    </row>
    <row r="58" spans="1:12" ht="12.75" customHeight="1" x14ac:dyDescent="0.25">
      <c r="A58" s="81" t="s">
        <v>763</v>
      </c>
      <c r="B58" s="113">
        <v>2001</v>
      </c>
      <c r="C58" s="7"/>
      <c r="D58" s="722" t="s">
        <v>764</v>
      </c>
      <c r="E58" s="722">
        <v>400000</v>
      </c>
      <c r="F58" s="80"/>
      <c r="G58" s="722">
        <v>400000</v>
      </c>
      <c r="H58" s="80"/>
      <c r="I58" s="80">
        <f t="shared" ref="I58:I67" si="5">I57+G58-H58</f>
        <v>10180800</v>
      </c>
      <c r="J58" s="10"/>
      <c r="K58" s="10"/>
      <c r="L58" s="80">
        <f t="shared" ref="L58:L67" si="6">L57+J58-K58</f>
        <v>0</v>
      </c>
    </row>
    <row r="59" spans="1:12" ht="12.75" customHeight="1" x14ac:dyDescent="0.25">
      <c r="A59" s="81" t="s">
        <v>763</v>
      </c>
      <c r="B59" s="113">
        <v>2001</v>
      </c>
      <c r="C59" s="7"/>
      <c r="D59" s="722" t="s">
        <v>720</v>
      </c>
      <c r="E59" s="722">
        <v>120000</v>
      </c>
      <c r="F59" s="80"/>
      <c r="G59" s="722">
        <v>120000</v>
      </c>
      <c r="H59" s="80"/>
      <c r="I59" s="80">
        <f t="shared" si="5"/>
        <v>10300800</v>
      </c>
      <c r="J59" s="10"/>
      <c r="K59" s="10"/>
      <c r="L59" s="80">
        <f t="shared" si="6"/>
        <v>0</v>
      </c>
    </row>
    <row r="60" spans="1:12" ht="12.75" customHeight="1" x14ac:dyDescent="0.25">
      <c r="A60" s="81" t="s">
        <v>763</v>
      </c>
      <c r="B60" s="113">
        <v>2001</v>
      </c>
      <c r="C60" s="7"/>
      <c r="D60" s="722" t="s">
        <v>598</v>
      </c>
      <c r="E60" s="722">
        <v>120000</v>
      </c>
      <c r="F60" s="80"/>
      <c r="G60" s="722">
        <v>120000</v>
      </c>
      <c r="H60" s="80"/>
      <c r="I60" s="80">
        <f t="shared" si="5"/>
        <v>10420800</v>
      </c>
      <c r="J60" s="10"/>
      <c r="K60" s="10"/>
      <c r="L60" s="80">
        <f t="shared" si="6"/>
        <v>0</v>
      </c>
    </row>
    <row r="61" spans="1:12" ht="12.75" customHeight="1" x14ac:dyDescent="0.25">
      <c r="A61" s="81" t="s">
        <v>763</v>
      </c>
      <c r="B61" s="113">
        <v>2001</v>
      </c>
      <c r="C61" s="7"/>
      <c r="D61" s="722" t="s">
        <v>599</v>
      </c>
      <c r="E61" s="722">
        <v>120000</v>
      </c>
      <c r="F61" s="80"/>
      <c r="G61" s="722">
        <v>120000</v>
      </c>
      <c r="H61" s="80"/>
      <c r="I61" s="80">
        <f t="shared" si="5"/>
        <v>10540800</v>
      </c>
      <c r="J61" s="10"/>
      <c r="K61" s="10"/>
      <c r="L61" s="80">
        <f t="shared" si="6"/>
        <v>0</v>
      </c>
    </row>
    <row r="62" spans="1:12" ht="12.75" customHeight="1" x14ac:dyDescent="0.25">
      <c r="A62" s="81" t="s">
        <v>763</v>
      </c>
      <c r="B62" s="113">
        <v>2002</v>
      </c>
      <c r="C62" s="7"/>
      <c r="D62" s="722" t="s">
        <v>760</v>
      </c>
      <c r="E62" s="722">
        <v>120000</v>
      </c>
      <c r="F62" s="80"/>
      <c r="G62" s="722">
        <v>120000</v>
      </c>
      <c r="H62" s="80"/>
      <c r="I62" s="80">
        <f t="shared" si="5"/>
        <v>10660800</v>
      </c>
      <c r="J62" s="10"/>
      <c r="K62" s="10"/>
      <c r="L62" s="80">
        <f t="shared" si="6"/>
        <v>0</v>
      </c>
    </row>
    <row r="63" spans="1:12" ht="12.75" customHeight="1" x14ac:dyDescent="0.25">
      <c r="A63" s="81" t="s">
        <v>763</v>
      </c>
      <c r="B63" s="113">
        <v>2001</v>
      </c>
      <c r="C63" s="7"/>
      <c r="D63" s="722" t="s">
        <v>753</v>
      </c>
      <c r="E63" s="722">
        <v>120000</v>
      </c>
      <c r="F63" s="80"/>
      <c r="G63" s="722">
        <v>120000</v>
      </c>
      <c r="H63" s="80"/>
      <c r="I63" s="80">
        <f t="shared" si="5"/>
        <v>10780800</v>
      </c>
      <c r="J63" s="10"/>
      <c r="K63" s="10"/>
      <c r="L63" s="80">
        <f t="shared" si="6"/>
        <v>0</v>
      </c>
    </row>
    <row r="64" spans="1:12" ht="12.75" customHeight="1" x14ac:dyDescent="0.25">
      <c r="A64" s="81" t="s">
        <v>763</v>
      </c>
      <c r="B64" s="113">
        <v>2001</v>
      </c>
      <c r="C64" s="7"/>
      <c r="D64" s="722" t="s">
        <v>600</v>
      </c>
      <c r="E64" s="722">
        <v>120000</v>
      </c>
      <c r="F64" s="80"/>
      <c r="G64" s="722">
        <v>120000</v>
      </c>
      <c r="H64" s="80"/>
      <c r="I64" s="80">
        <f t="shared" si="5"/>
        <v>10900800</v>
      </c>
      <c r="J64" s="10"/>
      <c r="K64" s="10"/>
      <c r="L64" s="80">
        <f t="shared" si="6"/>
        <v>0</v>
      </c>
    </row>
    <row r="65" spans="1:12" ht="12.75" customHeight="1" x14ac:dyDescent="0.25">
      <c r="A65" s="81" t="s">
        <v>763</v>
      </c>
      <c r="B65" s="113">
        <v>2001</v>
      </c>
      <c r="C65" s="7"/>
      <c r="D65" s="722" t="s">
        <v>693</v>
      </c>
      <c r="E65" s="722">
        <v>90000</v>
      </c>
      <c r="F65" s="80"/>
      <c r="G65" s="722">
        <v>90000</v>
      </c>
      <c r="H65" s="80"/>
      <c r="I65" s="80">
        <f t="shared" si="5"/>
        <v>10990800</v>
      </c>
      <c r="J65" s="10"/>
      <c r="K65" s="10"/>
      <c r="L65" s="80">
        <f t="shared" si="6"/>
        <v>0</v>
      </c>
    </row>
    <row r="66" spans="1:12" ht="12.75" customHeight="1" x14ac:dyDescent="0.25">
      <c r="A66" s="81" t="s">
        <v>763</v>
      </c>
      <c r="B66" s="711">
        <v>5109</v>
      </c>
      <c r="C66" s="7"/>
      <c r="D66" s="723" t="s">
        <v>765</v>
      </c>
      <c r="E66" s="723"/>
      <c r="F66" s="723">
        <v>8000</v>
      </c>
      <c r="G66" s="11"/>
      <c r="H66" s="723">
        <v>8000</v>
      </c>
      <c r="I66" s="80">
        <f t="shared" si="5"/>
        <v>10982800</v>
      </c>
      <c r="J66" s="10"/>
      <c r="K66" s="10"/>
      <c r="L66" s="80">
        <f t="shared" si="6"/>
        <v>0</v>
      </c>
    </row>
    <row r="67" spans="1:12" ht="12.75" customHeight="1" x14ac:dyDescent="0.25">
      <c r="A67" s="81" t="s">
        <v>763</v>
      </c>
      <c r="B67" s="711">
        <v>5103</v>
      </c>
      <c r="C67" s="7"/>
      <c r="D67" s="723" t="s">
        <v>722</v>
      </c>
      <c r="E67" s="723"/>
      <c r="F67" s="723">
        <v>22000</v>
      </c>
      <c r="G67" s="11"/>
      <c r="H67" s="723">
        <v>22000</v>
      </c>
      <c r="I67" s="80">
        <f t="shared" si="5"/>
        <v>10960800</v>
      </c>
      <c r="J67" s="10"/>
      <c r="K67" s="10"/>
      <c r="L67" s="80">
        <f t="shared" si="6"/>
        <v>0</v>
      </c>
    </row>
    <row r="68" spans="1:12" ht="12.75" customHeight="1" x14ac:dyDescent="0.25">
      <c r="A68" s="86"/>
      <c r="B68" s="712"/>
      <c r="C68" s="87"/>
      <c r="D68" s="88" t="s">
        <v>63</v>
      </c>
      <c r="E68" s="89">
        <f>SUM(E57:E67)</f>
        <v>2010000</v>
      </c>
      <c r="F68" s="89">
        <f>SUM(F57:F67)</f>
        <v>30000</v>
      </c>
      <c r="G68" s="89">
        <f>SUM(G57:G67)</f>
        <v>2010000</v>
      </c>
      <c r="H68" s="89">
        <f>SUM(H57:H67)</f>
        <v>30000</v>
      </c>
      <c r="I68" s="90"/>
      <c r="J68" s="90">
        <f>SUM(J57:J67)</f>
        <v>0</v>
      </c>
      <c r="K68" s="90">
        <f>SUM(K57:K67)</f>
        <v>0</v>
      </c>
      <c r="L68" s="90"/>
    </row>
    <row r="69" spans="1:12" ht="12.75" customHeight="1" x14ac:dyDescent="0.25">
      <c r="A69" s="86"/>
      <c r="B69" s="712"/>
      <c r="C69" s="87"/>
      <c r="D69" s="88" t="s">
        <v>64</v>
      </c>
      <c r="E69" s="89">
        <f>E56+E68</f>
        <v>10990800</v>
      </c>
      <c r="F69" s="89">
        <f>F56+F68</f>
        <v>30000</v>
      </c>
      <c r="G69" s="89">
        <f>G56+G68</f>
        <v>10990800</v>
      </c>
      <c r="H69" s="89">
        <f>H56+H68</f>
        <v>30000</v>
      </c>
      <c r="I69" s="90"/>
      <c r="J69" s="90">
        <f>J56+J68</f>
        <v>0</v>
      </c>
      <c r="K69" s="90">
        <f>K56+K68</f>
        <v>0</v>
      </c>
      <c r="L69" s="90"/>
    </row>
    <row r="70" spans="1:12" ht="12.75" customHeight="1" x14ac:dyDescent="0.25">
      <c r="A70" s="86"/>
      <c r="B70" s="712"/>
      <c r="C70" s="87"/>
      <c r="D70" s="88" t="s">
        <v>65</v>
      </c>
      <c r="E70" s="89">
        <f>E69-F69</f>
        <v>10960800</v>
      </c>
      <c r="F70" s="86"/>
      <c r="G70" s="89">
        <f>G69-H69</f>
        <v>10960800</v>
      </c>
      <c r="H70" s="86"/>
      <c r="I70" s="86"/>
      <c r="J70" s="90">
        <f>J69-K69</f>
        <v>0</v>
      </c>
      <c r="K70" s="86"/>
      <c r="L70" s="86"/>
    </row>
    <row r="71" spans="1:12" ht="12.75" customHeight="1" x14ac:dyDescent="0.25"/>
    <row r="72" spans="1:12" ht="12.75" customHeight="1" x14ac:dyDescent="0.25">
      <c r="A72" s="886" t="s">
        <v>19</v>
      </c>
      <c r="B72" s="886" t="s">
        <v>9</v>
      </c>
      <c r="C72" s="327" t="s">
        <v>197</v>
      </c>
      <c r="D72" s="899" t="s">
        <v>20</v>
      </c>
      <c r="E72" s="903" t="s">
        <v>357</v>
      </c>
      <c r="F72" s="904"/>
      <c r="G72" s="886" t="s">
        <v>0</v>
      </c>
      <c r="H72" s="886"/>
      <c r="I72" s="886"/>
      <c r="J72" s="886" t="s">
        <v>1</v>
      </c>
      <c r="K72" s="886"/>
      <c r="L72" s="886"/>
    </row>
    <row r="73" spans="1:12" ht="12.75" customHeight="1" x14ac:dyDescent="0.25">
      <c r="A73" s="887"/>
      <c r="B73" s="887"/>
      <c r="C73" s="328"/>
      <c r="D73" s="900"/>
      <c r="E73" s="75" t="s">
        <v>11</v>
      </c>
      <c r="F73" s="76" t="s">
        <v>12</v>
      </c>
      <c r="G73" s="326" t="s">
        <v>11</v>
      </c>
      <c r="H73" s="326" t="s">
        <v>12</v>
      </c>
      <c r="I73" s="326" t="s">
        <v>21</v>
      </c>
      <c r="J73" s="326" t="s">
        <v>11</v>
      </c>
      <c r="K73" s="326" t="s">
        <v>12</v>
      </c>
      <c r="L73" s="326" t="s">
        <v>21</v>
      </c>
    </row>
    <row r="74" spans="1:12" ht="12.75" customHeight="1" x14ac:dyDescent="0.25">
      <c r="A74" s="77">
        <v>45661</v>
      </c>
      <c r="B74" s="113"/>
      <c r="C74" s="7"/>
      <c r="D74" s="79" t="s">
        <v>417</v>
      </c>
      <c r="E74" s="11">
        <f>E70</f>
        <v>10960800</v>
      </c>
      <c r="F74" s="80"/>
      <c r="G74" s="11">
        <f>G70</f>
        <v>10960800</v>
      </c>
      <c r="H74" s="80"/>
      <c r="I74" s="80">
        <f>G74-H74</f>
        <v>10960800</v>
      </c>
      <c r="J74" s="496">
        <v>0</v>
      </c>
      <c r="K74" s="10"/>
      <c r="L74" s="80">
        <f>J74-K74</f>
        <v>0</v>
      </c>
    </row>
    <row r="75" spans="1:12" ht="12.75" customHeight="1" x14ac:dyDescent="0.25">
      <c r="A75" s="81" t="s">
        <v>766</v>
      </c>
      <c r="B75" s="113">
        <v>2001</v>
      </c>
      <c r="C75" s="7"/>
      <c r="D75" s="724" t="s">
        <v>753</v>
      </c>
      <c r="E75" s="724">
        <v>90000</v>
      </c>
      <c r="F75" s="82"/>
      <c r="G75" s="724">
        <v>90000</v>
      </c>
      <c r="H75" s="80"/>
      <c r="I75" s="80">
        <f>I74+G75-H75</f>
        <v>11050800</v>
      </c>
      <c r="J75" s="10"/>
      <c r="K75" s="83"/>
      <c r="L75" s="80">
        <f>L74+J75-K75</f>
        <v>0</v>
      </c>
    </row>
    <row r="76" spans="1:12" ht="12.75" customHeight="1" x14ac:dyDescent="0.25">
      <c r="A76" s="81" t="s">
        <v>766</v>
      </c>
      <c r="B76" s="113">
        <v>2001</v>
      </c>
      <c r="C76" s="7"/>
      <c r="D76" s="724" t="s">
        <v>602</v>
      </c>
      <c r="E76" s="724">
        <v>90000</v>
      </c>
      <c r="F76" s="80"/>
      <c r="G76" s="724">
        <v>90000</v>
      </c>
      <c r="H76" s="80"/>
      <c r="I76" s="80">
        <f t="shared" ref="I76:I88" si="7">I75+G76-H76</f>
        <v>11140800</v>
      </c>
      <c r="J76" s="10"/>
      <c r="K76" s="10"/>
      <c r="L76" s="80">
        <f t="shared" ref="L76:L85" si="8">L75+J76-K76</f>
        <v>0</v>
      </c>
    </row>
    <row r="77" spans="1:12" ht="12.75" customHeight="1" x14ac:dyDescent="0.25">
      <c r="A77" s="81" t="s">
        <v>766</v>
      </c>
      <c r="B77" s="113">
        <v>2001</v>
      </c>
      <c r="C77" s="7"/>
      <c r="D77" s="724" t="s">
        <v>696</v>
      </c>
      <c r="E77" s="724">
        <v>90000</v>
      </c>
      <c r="F77" s="80"/>
      <c r="G77" s="724">
        <v>90000</v>
      </c>
      <c r="H77" s="80"/>
      <c r="I77" s="80">
        <f t="shared" si="7"/>
        <v>11230800</v>
      </c>
      <c r="J77" s="10"/>
      <c r="K77" s="10"/>
      <c r="L77" s="80">
        <f t="shared" si="8"/>
        <v>0</v>
      </c>
    </row>
    <row r="78" spans="1:12" ht="12.75" customHeight="1" x14ac:dyDescent="0.25">
      <c r="A78" s="81" t="s">
        <v>766</v>
      </c>
      <c r="B78" s="113">
        <v>2001</v>
      </c>
      <c r="C78" s="7"/>
      <c r="D78" s="724" t="s">
        <v>598</v>
      </c>
      <c r="E78" s="724">
        <v>90000</v>
      </c>
      <c r="F78" s="80"/>
      <c r="G78" s="724">
        <v>90000</v>
      </c>
      <c r="H78" s="80"/>
      <c r="I78" s="80">
        <f t="shared" si="7"/>
        <v>11320800</v>
      </c>
      <c r="J78" s="10"/>
      <c r="K78" s="10"/>
      <c r="L78" s="80">
        <f t="shared" si="8"/>
        <v>0</v>
      </c>
    </row>
    <row r="79" spans="1:12" ht="12.75" customHeight="1" x14ac:dyDescent="0.25">
      <c r="A79" s="81" t="s">
        <v>766</v>
      </c>
      <c r="B79" s="113">
        <v>2001</v>
      </c>
      <c r="C79" s="7"/>
      <c r="D79" s="724" t="s">
        <v>760</v>
      </c>
      <c r="E79" s="724">
        <v>90000</v>
      </c>
      <c r="F79" s="80"/>
      <c r="G79" s="724">
        <v>90000</v>
      </c>
      <c r="H79" s="80"/>
      <c r="I79" s="80">
        <f t="shared" si="7"/>
        <v>11410800</v>
      </c>
      <c r="J79" s="11"/>
      <c r="K79" s="10"/>
      <c r="L79" s="80">
        <f t="shared" si="8"/>
        <v>0</v>
      </c>
    </row>
    <row r="80" spans="1:12" ht="12.75" customHeight="1" x14ac:dyDescent="0.25">
      <c r="A80" s="81" t="s">
        <v>766</v>
      </c>
      <c r="B80" s="113">
        <v>2001</v>
      </c>
      <c r="C80" s="7"/>
      <c r="D80" s="724" t="s">
        <v>724</v>
      </c>
      <c r="E80" s="724">
        <v>90000</v>
      </c>
      <c r="F80" s="80"/>
      <c r="G80" s="724">
        <v>90000</v>
      </c>
      <c r="H80" s="80"/>
      <c r="I80" s="80">
        <f t="shared" si="7"/>
        <v>11500800</v>
      </c>
      <c r="J80" s="10"/>
      <c r="K80" s="10"/>
      <c r="L80" s="80">
        <f t="shared" si="8"/>
        <v>0</v>
      </c>
    </row>
    <row r="81" spans="1:12" ht="12.75" customHeight="1" x14ac:dyDescent="0.25">
      <c r="A81" s="81" t="s">
        <v>766</v>
      </c>
      <c r="B81" s="113">
        <v>2001</v>
      </c>
      <c r="C81" s="7"/>
      <c r="D81" s="724" t="s">
        <v>601</v>
      </c>
      <c r="E81" s="724">
        <v>90000</v>
      </c>
      <c r="F81" s="80"/>
      <c r="G81" s="724">
        <v>90000</v>
      </c>
      <c r="H81" s="80"/>
      <c r="I81" s="80">
        <f t="shared" si="7"/>
        <v>11590800</v>
      </c>
      <c r="J81" s="10"/>
      <c r="K81" s="10"/>
      <c r="L81" s="80">
        <f t="shared" si="8"/>
        <v>0</v>
      </c>
    </row>
    <row r="82" spans="1:12" ht="12.75" customHeight="1" x14ac:dyDescent="0.25">
      <c r="A82" s="81" t="s">
        <v>766</v>
      </c>
      <c r="B82" s="113">
        <v>2001</v>
      </c>
      <c r="C82" s="7"/>
      <c r="D82" s="724" t="s">
        <v>600</v>
      </c>
      <c r="E82" s="724">
        <v>90000</v>
      </c>
      <c r="F82" s="80"/>
      <c r="G82" s="724">
        <v>90000</v>
      </c>
      <c r="H82" s="80"/>
      <c r="I82" s="80">
        <f t="shared" si="7"/>
        <v>11680800</v>
      </c>
      <c r="J82" s="10"/>
      <c r="K82" s="10"/>
      <c r="L82" s="80">
        <f t="shared" si="8"/>
        <v>0</v>
      </c>
    </row>
    <row r="83" spans="1:12" ht="12.75" customHeight="1" x14ac:dyDescent="0.25">
      <c r="A83" s="81" t="s">
        <v>766</v>
      </c>
      <c r="B83" s="113">
        <v>2001</v>
      </c>
      <c r="C83" s="7"/>
      <c r="D83" s="725" t="s">
        <v>693</v>
      </c>
      <c r="E83" s="724">
        <v>90000</v>
      </c>
      <c r="F83" s="655"/>
      <c r="G83" s="724">
        <v>90000</v>
      </c>
      <c r="H83" s="655"/>
      <c r="I83" s="80">
        <f t="shared" si="7"/>
        <v>11770800</v>
      </c>
      <c r="J83" s="10"/>
      <c r="K83" s="10"/>
      <c r="L83" s="80">
        <f t="shared" si="8"/>
        <v>0</v>
      </c>
    </row>
    <row r="84" spans="1:12" ht="12.75" customHeight="1" x14ac:dyDescent="0.25">
      <c r="A84" s="81" t="s">
        <v>766</v>
      </c>
      <c r="B84" s="113">
        <v>2001</v>
      </c>
      <c r="C84" s="7"/>
      <c r="D84" s="726" t="s">
        <v>750</v>
      </c>
      <c r="E84" s="726">
        <v>240000</v>
      </c>
      <c r="F84" s="555"/>
      <c r="G84" s="726">
        <v>240000</v>
      </c>
      <c r="H84" s="555"/>
      <c r="I84" s="80">
        <f t="shared" si="7"/>
        <v>12010800</v>
      </c>
      <c r="J84" s="10"/>
      <c r="K84" s="10"/>
      <c r="L84" s="80">
        <f t="shared" si="8"/>
        <v>0</v>
      </c>
    </row>
    <row r="85" spans="1:12" ht="12.75" customHeight="1" x14ac:dyDescent="0.25">
      <c r="A85" s="81" t="s">
        <v>766</v>
      </c>
      <c r="B85" s="113">
        <v>2002</v>
      </c>
      <c r="C85" s="7"/>
      <c r="D85" s="726" t="s">
        <v>774</v>
      </c>
      <c r="E85" s="726">
        <v>200000</v>
      </c>
      <c r="F85" s="555"/>
      <c r="G85" s="726">
        <v>200000</v>
      </c>
      <c r="H85" s="555"/>
      <c r="I85" s="80">
        <f t="shared" si="7"/>
        <v>12210800</v>
      </c>
      <c r="J85" s="10"/>
      <c r="K85" s="10"/>
      <c r="L85" s="80">
        <f t="shared" si="8"/>
        <v>0</v>
      </c>
    </row>
    <row r="86" spans="1:12" ht="12.75" customHeight="1" x14ac:dyDescent="0.25">
      <c r="A86" s="81" t="s">
        <v>766</v>
      </c>
      <c r="B86" s="113">
        <v>2001</v>
      </c>
      <c r="C86" s="7"/>
      <c r="D86" s="726" t="s">
        <v>775</v>
      </c>
      <c r="E86" s="726">
        <v>150000</v>
      </c>
      <c r="F86" s="555"/>
      <c r="G86" s="726">
        <v>150000</v>
      </c>
      <c r="H86" s="555"/>
      <c r="I86" s="80">
        <f t="shared" si="7"/>
        <v>12360800</v>
      </c>
      <c r="J86" s="10"/>
      <c r="K86" s="10"/>
      <c r="L86" s="80"/>
    </row>
    <row r="87" spans="1:12" ht="12.75" customHeight="1" x14ac:dyDescent="0.25">
      <c r="A87" s="81" t="s">
        <v>766</v>
      </c>
      <c r="B87" s="711">
        <v>5104</v>
      </c>
      <c r="C87" s="7"/>
      <c r="D87" s="727" t="s">
        <v>723</v>
      </c>
      <c r="E87" s="727"/>
      <c r="F87" s="727">
        <v>105000</v>
      </c>
      <c r="G87" s="555"/>
      <c r="H87" s="727">
        <v>105000</v>
      </c>
      <c r="I87" s="80">
        <f t="shared" si="7"/>
        <v>12255800</v>
      </c>
      <c r="J87" s="10"/>
      <c r="K87" s="10"/>
      <c r="L87" s="80"/>
    </row>
    <row r="88" spans="1:12" ht="12.75" customHeight="1" x14ac:dyDescent="0.25">
      <c r="A88" s="81" t="s">
        <v>766</v>
      </c>
      <c r="B88" s="711"/>
      <c r="C88" s="7"/>
      <c r="D88" s="555"/>
      <c r="E88" s="555"/>
      <c r="F88" s="555"/>
      <c r="G88" s="555"/>
      <c r="H88" s="555"/>
      <c r="I88" s="80">
        <f t="shared" si="7"/>
        <v>12255800</v>
      </c>
      <c r="J88" s="10"/>
      <c r="K88" s="10"/>
      <c r="L88" s="80"/>
    </row>
    <row r="89" spans="1:12" ht="12.75" customHeight="1" x14ac:dyDescent="0.25">
      <c r="A89" s="86"/>
      <c r="B89" s="712"/>
      <c r="C89" s="87"/>
      <c r="D89" s="88" t="s">
        <v>63</v>
      </c>
      <c r="E89" s="89">
        <f>SUM(E75:E88)</f>
        <v>1400000</v>
      </c>
      <c r="F89" s="89">
        <f>SUM(F75:F88)</f>
        <v>105000</v>
      </c>
      <c r="G89" s="89">
        <f>SUM(G75:G88)</f>
        <v>1400000</v>
      </c>
      <c r="H89" s="89">
        <f>SUM(H75:H88)</f>
        <v>105000</v>
      </c>
      <c r="I89" s="90"/>
      <c r="J89" s="90">
        <f>SUM(J75:J88)</f>
        <v>0</v>
      </c>
      <c r="K89" s="90">
        <f>SUM(K75:K88)</f>
        <v>0</v>
      </c>
      <c r="L89" s="90"/>
    </row>
    <row r="90" spans="1:12" ht="12.75" customHeight="1" x14ac:dyDescent="0.25">
      <c r="A90" s="86"/>
      <c r="B90" s="712"/>
      <c r="C90" s="87"/>
      <c r="D90" s="88" t="s">
        <v>64</v>
      </c>
      <c r="E90" s="89">
        <f>E74+E89</f>
        <v>12360800</v>
      </c>
      <c r="F90" s="89">
        <f>F74+F89</f>
        <v>105000</v>
      </c>
      <c r="G90" s="89">
        <f>G74+G89</f>
        <v>12360800</v>
      </c>
      <c r="H90" s="89">
        <f>H74+H89</f>
        <v>105000</v>
      </c>
      <c r="I90" s="90"/>
      <c r="J90" s="90">
        <f>J74+J89</f>
        <v>0</v>
      </c>
      <c r="K90" s="90">
        <f>K74+K89</f>
        <v>0</v>
      </c>
      <c r="L90" s="90"/>
    </row>
    <row r="91" spans="1:12" ht="12.75" customHeight="1" x14ac:dyDescent="0.25">
      <c r="A91" s="86"/>
      <c r="B91" s="712"/>
      <c r="C91" s="87"/>
      <c r="D91" s="88" t="s">
        <v>65</v>
      </c>
      <c r="E91" s="89">
        <f>E90-F90</f>
        <v>12255800</v>
      </c>
      <c r="F91" s="86"/>
      <c r="G91" s="89">
        <f>G90-H90</f>
        <v>12255800</v>
      </c>
      <c r="H91" s="86"/>
      <c r="I91" s="86"/>
      <c r="J91" s="90">
        <f>J90-K90</f>
        <v>0</v>
      </c>
      <c r="K91" s="86"/>
      <c r="L91" s="86"/>
    </row>
    <row r="92" spans="1:12" ht="12.75" customHeight="1" x14ac:dyDescent="0.25"/>
    <row r="93" spans="1:12" ht="12.75" customHeight="1" x14ac:dyDescent="0.25">
      <c r="A93" s="886" t="s">
        <v>19</v>
      </c>
      <c r="B93" s="886" t="s">
        <v>9</v>
      </c>
      <c r="C93" s="327" t="s">
        <v>197</v>
      </c>
      <c r="D93" s="899" t="s">
        <v>20</v>
      </c>
      <c r="E93" s="903" t="s">
        <v>357</v>
      </c>
      <c r="F93" s="904"/>
      <c r="G93" s="886" t="s">
        <v>0</v>
      </c>
      <c r="H93" s="886"/>
      <c r="I93" s="886"/>
      <c r="J93" s="886" t="s">
        <v>1</v>
      </c>
      <c r="K93" s="886"/>
      <c r="L93" s="886"/>
    </row>
    <row r="94" spans="1:12" ht="12.75" customHeight="1" x14ac:dyDescent="0.25">
      <c r="A94" s="887"/>
      <c r="B94" s="887"/>
      <c r="C94" s="328"/>
      <c r="D94" s="900"/>
      <c r="E94" s="75" t="s">
        <v>11</v>
      </c>
      <c r="F94" s="76" t="s">
        <v>12</v>
      </c>
      <c r="G94" s="326" t="s">
        <v>11</v>
      </c>
      <c r="H94" s="326" t="s">
        <v>12</v>
      </c>
      <c r="I94" s="326" t="s">
        <v>21</v>
      </c>
      <c r="J94" s="326" t="s">
        <v>11</v>
      </c>
      <c r="K94" s="326" t="s">
        <v>12</v>
      </c>
      <c r="L94" s="326" t="s">
        <v>21</v>
      </c>
    </row>
    <row r="95" spans="1:12" ht="12.75" customHeight="1" x14ac:dyDescent="0.25">
      <c r="A95" s="77">
        <v>45662</v>
      </c>
      <c r="B95" s="113"/>
      <c r="C95" s="7"/>
      <c r="D95" s="79" t="s">
        <v>418</v>
      </c>
      <c r="E95" s="11">
        <f>E91</f>
        <v>12255800</v>
      </c>
      <c r="F95" s="80"/>
      <c r="G95" s="11">
        <f>G91</f>
        <v>12255800</v>
      </c>
      <c r="H95" s="80"/>
      <c r="I95" s="80">
        <f>G95-H95</f>
        <v>12255800</v>
      </c>
      <c r="J95" s="496">
        <v>0</v>
      </c>
      <c r="K95" s="10"/>
      <c r="L95" s="80">
        <f>J95-K95</f>
        <v>0</v>
      </c>
    </row>
    <row r="96" spans="1:12" ht="12.75" customHeight="1" x14ac:dyDescent="0.25">
      <c r="A96" s="81" t="s">
        <v>767</v>
      </c>
      <c r="B96" s="113">
        <v>2001</v>
      </c>
      <c r="C96" s="7"/>
      <c r="D96" s="728" t="s">
        <v>753</v>
      </c>
      <c r="E96" s="728">
        <v>100000</v>
      </c>
      <c r="F96" s="82"/>
      <c r="G96" s="728">
        <v>100000</v>
      </c>
      <c r="H96" s="80"/>
      <c r="I96" s="80">
        <f>I95+G96-H96</f>
        <v>12355800</v>
      </c>
      <c r="J96" s="10"/>
      <c r="K96" s="83"/>
      <c r="L96" s="80">
        <f>L95+J96-K96</f>
        <v>0</v>
      </c>
    </row>
    <row r="97" spans="1:12" ht="12.75" customHeight="1" x14ac:dyDescent="0.25">
      <c r="A97" s="81" t="s">
        <v>767</v>
      </c>
      <c r="B97" s="113">
        <v>2002</v>
      </c>
      <c r="C97" s="7"/>
      <c r="D97" s="728" t="s">
        <v>776</v>
      </c>
      <c r="E97" s="728">
        <v>120000</v>
      </c>
      <c r="F97" s="80"/>
      <c r="G97" s="728">
        <v>120000</v>
      </c>
      <c r="H97" s="80"/>
      <c r="I97" s="80">
        <f t="shared" ref="I97:I110" si="9">I96+G97-H97</f>
        <v>12475800</v>
      </c>
      <c r="J97" s="10"/>
      <c r="K97" s="10"/>
      <c r="L97" s="80">
        <f>L96+J97-K97</f>
        <v>0</v>
      </c>
    </row>
    <row r="98" spans="1:12" ht="12.75" customHeight="1" x14ac:dyDescent="0.25">
      <c r="A98" s="81" t="s">
        <v>767</v>
      </c>
      <c r="B98" s="113">
        <v>2001</v>
      </c>
      <c r="C98" s="7"/>
      <c r="D98" s="728" t="s">
        <v>601</v>
      </c>
      <c r="E98" s="728">
        <v>120000</v>
      </c>
      <c r="F98" s="80"/>
      <c r="G98" s="728">
        <v>120000</v>
      </c>
      <c r="H98" s="80"/>
      <c r="I98" s="80">
        <f t="shared" si="9"/>
        <v>12595800</v>
      </c>
      <c r="J98" s="10"/>
      <c r="K98" s="10"/>
      <c r="L98" s="80">
        <f t="shared" ref="L98:L107" si="10">L97+J98-K98</f>
        <v>0</v>
      </c>
    </row>
    <row r="99" spans="1:12" ht="12.75" customHeight="1" x14ac:dyDescent="0.25">
      <c r="A99" s="81" t="s">
        <v>767</v>
      </c>
      <c r="B99" s="113">
        <v>2001</v>
      </c>
      <c r="C99" s="7"/>
      <c r="D99" s="728" t="s">
        <v>602</v>
      </c>
      <c r="E99" s="728">
        <v>120000</v>
      </c>
      <c r="F99" s="80"/>
      <c r="G99" s="728">
        <v>120000</v>
      </c>
      <c r="H99" s="80"/>
      <c r="I99" s="80">
        <f t="shared" si="9"/>
        <v>12715800</v>
      </c>
      <c r="J99" s="10"/>
      <c r="K99" s="10"/>
      <c r="L99" s="80"/>
    </row>
    <row r="100" spans="1:12" ht="12.75" customHeight="1" x14ac:dyDescent="0.25">
      <c r="A100" s="81" t="s">
        <v>767</v>
      </c>
      <c r="B100" s="113">
        <v>2001</v>
      </c>
      <c r="C100" s="7"/>
      <c r="D100" s="728" t="s">
        <v>760</v>
      </c>
      <c r="E100" s="728">
        <v>120000</v>
      </c>
      <c r="F100" s="80"/>
      <c r="G100" s="728">
        <v>120000</v>
      </c>
      <c r="H100" s="80"/>
      <c r="I100" s="80">
        <f t="shared" si="9"/>
        <v>12835800</v>
      </c>
      <c r="J100" s="10"/>
      <c r="K100" s="10"/>
      <c r="L100" s="80"/>
    </row>
    <row r="101" spans="1:12" ht="12.75" customHeight="1" x14ac:dyDescent="0.25">
      <c r="A101" s="81" t="s">
        <v>767</v>
      </c>
      <c r="B101" s="113">
        <v>2001</v>
      </c>
      <c r="C101" s="7"/>
      <c r="D101" s="728" t="s">
        <v>598</v>
      </c>
      <c r="E101" s="728">
        <v>120000</v>
      </c>
      <c r="F101" s="80"/>
      <c r="G101" s="728">
        <v>120000</v>
      </c>
      <c r="H101" s="80"/>
      <c r="I101" s="80">
        <f t="shared" si="9"/>
        <v>12955800</v>
      </c>
      <c r="J101" s="10"/>
      <c r="K101" s="10"/>
      <c r="L101" s="80"/>
    </row>
    <row r="102" spans="1:12" ht="12.75" customHeight="1" x14ac:dyDescent="0.25">
      <c r="A102" s="81" t="s">
        <v>767</v>
      </c>
      <c r="B102" s="113">
        <v>2001</v>
      </c>
      <c r="C102" s="7"/>
      <c r="D102" s="728" t="s">
        <v>600</v>
      </c>
      <c r="E102" s="728">
        <v>120000</v>
      </c>
      <c r="F102" s="80"/>
      <c r="G102" s="728">
        <v>120000</v>
      </c>
      <c r="H102" s="80"/>
      <c r="I102" s="80">
        <f t="shared" si="9"/>
        <v>13075800</v>
      </c>
      <c r="J102" s="10"/>
      <c r="K102" s="10"/>
      <c r="L102" s="80"/>
    </row>
    <row r="103" spans="1:12" ht="12.75" customHeight="1" x14ac:dyDescent="0.25">
      <c r="A103" s="81" t="s">
        <v>767</v>
      </c>
      <c r="B103" s="113">
        <v>2001</v>
      </c>
      <c r="C103" s="7"/>
      <c r="D103" s="728" t="s">
        <v>693</v>
      </c>
      <c r="E103" s="728">
        <v>120000</v>
      </c>
      <c r="F103" s="80"/>
      <c r="G103" s="728">
        <v>120000</v>
      </c>
      <c r="H103" s="80"/>
      <c r="I103" s="80">
        <f t="shared" si="9"/>
        <v>13195800</v>
      </c>
      <c r="J103" s="10"/>
      <c r="K103" s="10"/>
      <c r="L103" s="80"/>
    </row>
    <row r="104" spans="1:12" ht="12.75" customHeight="1" x14ac:dyDescent="0.25">
      <c r="A104" s="81" t="s">
        <v>767</v>
      </c>
      <c r="B104" s="113">
        <v>2002</v>
      </c>
      <c r="C104" s="7"/>
      <c r="D104" s="728" t="s">
        <v>777</v>
      </c>
      <c r="E104" s="728">
        <v>500000</v>
      </c>
      <c r="F104" s="655"/>
      <c r="G104" s="728">
        <v>500000</v>
      </c>
      <c r="H104" s="655"/>
      <c r="I104" s="80">
        <f t="shared" si="9"/>
        <v>13695800</v>
      </c>
      <c r="J104" s="10"/>
      <c r="K104" s="10"/>
      <c r="L104" s="80"/>
    </row>
    <row r="105" spans="1:12" ht="12.75" customHeight="1" x14ac:dyDescent="0.25">
      <c r="A105" s="81" t="s">
        <v>767</v>
      </c>
      <c r="B105" s="113">
        <v>2001</v>
      </c>
      <c r="C105" s="7"/>
      <c r="D105" s="728" t="s">
        <v>750</v>
      </c>
      <c r="E105" s="728">
        <v>210000</v>
      </c>
      <c r="F105" s="655"/>
      <c r="G105" s="728">
        <v>210000</v>
      </c>
      <c r="H105" s="655"/>
      <c r="I105" s="80">
        <f t="shared" si="9"/>
        <v>13905800</v>
      </c>
      <c r="J105" s="10"/>
      <c r="K105" s="10"/>
      <c r="L105" s="80"/>
    </row>
    <row r="106" spans="1:12" ht="12.75" customHeight="1" x14ac:dyDescent="0.25">
      <c r="A106" s="81" t="s">
        <v>767</v>
      </c>
      <c r="B106" s="113">
        <v>2001</v>
      </c>
      <c r="C106" s="7"/>
      <c r="D106" s="728" t="s">
        <v>604</v>
      </c>
      <c r="E106" s="728">
        <v>120000</v>
      </c>
      <c r="F106" s="655"/>
      <c r="G106" s="728">
        <v>120000</v>
      </c>
      <c r="H106" s="655"/>
      <c r="I106" s="80">
        <f t="shared" si="9"/>
        <v>14025800</v>
      </c>
      <c r="J106" s="10"/>
      <c r="K106" s="10"/>
      <c r="L106" s="80">
        <f>L98+J106-K106</f>
        <v>0</v>
      </c>
    </row>
    <row r="107" spans="1:12" ht="12.75" customHeight="1" x14ac:dyDescent="0.25">
      <c r="A107" s="81" t="s">
        <v>767</v>
      </c>
      <c r="B107" s="113">
        <v>2001</v>
      </c>
      <c r="C107" s="7"/>
      <c r="D107" s="729" t="s">
        <v>778</v>
      </c>
      <c r="E107" s="729">
        <v>120000</v>
      </c>
      <c r="F107" s="655"/>
      <c r="G107" s="729">
        <v>120000</v>
      </c>
      <c r="H107" s="655"/>
      <c r="I107" s="80">
        <f t="shared" si="9"/>
        <v>14145800</v>
      </c>
      <c r="J107" s="11"/>
      <c r="K107" s="10"/>
      <c r="L107" s="80">
        <f t="shared" si="10"/>
        <v>0</v>
      </c>
    </row>
    <row r="108" spans="1:12" ht="12.75" customHeight="1" x14ac:dyDescent="0.25">
      <c r="A108" s="81" t="s">
        <v>767</v>
      </c>
      <c r="B108" s="711">
        <v>5104</v>
      </c>
      <c r="C108" s="7"/>
      <c r="D108" s="730" t="s">
        <v>605</v>
      </c>
      <c r="E108" s="730"/>
      <c r="F108" s="730">
        <v>105000</v>
      </c>
      <c r="G108" s="555"/>
      <c r="H108" s="730">
        <v>105000</v>
      </c>
      <c r="I108" s="80">
        <f t="shared" si="9"/>
        <v>14040800</v>
      </c>
      <c r="J108" s="11"/>
      <c r="K108" s="10"/>
      <c r="L108" s="80"/>
    </row>
    <row r="109" spans="1:12" ht="12.75" customHeight="1" x14ac:dyDescent="0.25">
      <c r="A109" s="81" t="s">
        <v>767</v>
      </c>
      <c r="B109" s="711">
        <v>5109</v>
      </c>
      <c r="C109" s="7"/>
      <c r="D109" s="730" t="s">
        <v>779</v>
      </c>
      <c r="E109" s="730"/>
      <c r="F109" s="730">
        <v>100000</v>
      </c>
      <c r="G109" s="555"/>
      <c r="H109" s="730">
        <v>100000</v>
      </c>
      <c r="I109" s="80">
        <f t="shared" si="9"/>
        <v>13940800</v>
      </c>
      <c r="J109" s="10"/>
      <c r="K109" s="10"/>
      <c r="L109" s="80">
        <f>L107+J109-K109</f>
        <v>0</v>
      </c>
    </row>
    <row r="110" spans="1:12" ht="12.75" customHeight="1" x14ac:dyDescent="0.25">
      <c r="A110" s="81" t="s">
        <v>767</v>
      </c>
      <c r="B110" s="711"/>
      <c r="C110" s="7"/>
      <c r="D110" s="557"/>
      <c r="E110" s="555"/>
      <c r="F110" s="555"/>
      <c r="G110" s="80"/>
      <c r="H110" s="555"/>
      <c r="I110" s="80">
        <f t="shared" si="9"/>
        <v>13940800</v>
      </c>
      <c r="J110" s="10"/>
      <c r="K110" s="10"/>
      <c r="L110" s="80"/>
    </row>
    <row r="111" spans="1:12" ht="12.75" customHeight="1" x14ac:dyDescent="0.25">
      <c r="A111" s="86"/>
      <c r="B111" s="712"/>
      <c r="C111" s="87"/>
      <c r="D111" s="88" t="s">
        <v>63</v>
      </c>
      <c r="E111" s="89">
        <f>SUM(E96:E110)</f>
        <v>1890000</v>
      </c>
      <c r="F111" s="89">
        <f>SUM(F96:F110)</f>
        <v>205000</v>
      </c>
      <c r="G111" s="89">
        <f>SUM(G96:G110)</f>
        <v>1890000</v>
      </c>
      <c r="H111" s="89">
        <f>SUM(H96:H110)</f>
        <v>205000</v>
      </c>
      <c r="I111" s="90"/>
      <c r="J111" s="90">
        <f>SUM(J96:J110)</f>
        <v>0</v>
      </c>
      <c r="K111" s="90">
        <f>SUM(K96:K110)</f>
        <v>0</v>
      </c>
      <c r="L111" s="90"/>
    </row>
    <row r="112" spans="1:12" ht="12.75" customHeight="1" x14ac:dyDescent="0.25">
      <c r="A112" s="86"/>
      <c r="B112" s="712"/>
      <c r="C112" s="87"/>
      <c r="D112" s="88" t="s">
        <v>64</v>
      </c>
      <c r="E112" s="89">
        <f>E95+E111</f>
        <v>14145800</v>
      </c>
      <c r="F112" s="89">
        <f>F95+F111</f>
        <v>205000</v>
      </c>
      <c r="G112" s="89">
        <f>G95+G111</f>
        <v>14145800</v>
      </c>
      <c r="H112" s="89">
        <f>H95+H111</f>
        <v>205000</v>
      </c>
      <c r="I112" s="90"/>
      <c r="J112" s="90">
        <f>J95+J111</f>
        <v>0</v>
      </c>
      <c r="K112" s="90">
        <f>K95+K111</f>
        <v>0</v>
      </c>
      <c r="L112" s="90"/>
    </row>
    <row r="113" spans="1:12" ht="12.75" customHeight="1" x14ac:dyDescent="0.25">
      <c r="A113" s="86"/>
      <c r="B113" s="712"/>
      <c r="C113" s="87"/>
      <c r="D113" s="88" t="s">
        <v>65</v>
      </c>
      <c r="E113" s="89">
        <f>E112-F112</f>
        <v>13940800</v>
      </c>
      <c r="F113" s="86"/>
      <c r="G113" s="89">
        <f>G112-H112</f>
        <v>13940800</v>
      </c>
      <c r="H113" s="86"/>
      <c r="I113" s="86"/>
      <c r="J113" s="90">
        <f>J112-K112</f>
        <v>0</v>
      </c>
      <c r="K113" s="86"/>
      <c r="L113" s="86"/>
    </row>
    <row r="114" spans="1:12" ht="12.75" customHeight="1" x14ac:dyDescent="0.25"/>
    <row r="115" spans="1:12" ht="12.75" customHeight="1" x14ac:dyDescent="0.25">
      <c r="A115" s="886" t="s">
        <v>19</v>
      </c>
      <c r="B115" s="886" t="s">
        <v>9</v>
      </c>
      <c r="C115" s="327" t="s">
        <v>197</v>
      </c>
      <c r="D115" s="899" t="s">
        <v>20</v>
      </c>
      <c r="E115" s="903" t="s">
        <v>357</v>
      </c>
      <c r="F115" s="904"/>
      <c r="G115" s="886" t="s">
        <v>0</v>
      </c>
      <c r="H115" s="886"/>
      <c r="I115" s="886"/>
      <c r="J115" s="886" t="s">
        <v>1</v>
      </c>
      <c r="K115" s="886"/>
      <c r="L115" s="886"/>
    </row>
    <row r="116" spans="1:12" ht="12.75" customHeight="1" x14ac:dyDescent="0.25">
      <c r="A116" s="887"/>
      <c r="B116" s="887"/>
      <c r="C116" s="328"/>
      <c r="D116" s="900"/>
      <c r="E116" s="75" t="s">
        <v>11</v>
      </c>
      <c r="F116" s="76" t="s">
        <v>12</v>
      </c>
      <c r="G116" s="326" t="s">
        <v>11</v>
      </c>
      <c r="H116" s="326" t="s">
        <v>12</v>
      </c>
      <c r="I116" s="326" t="s">
        <v>21</v>
      </c>
      <c r="J116" s="326" t="s">
        <v>11</v>
      </c>
      <c r="K116" s="326" t="s">
        <v>12</v>
      </c>
      <c r="L116" s="326" t="s">
        <v>21</v>
      </c>
    </row>
    <row r="117" spans="1:12" ht="12.75" customHeight="1" x14ac:dyDescent="0.25">
      <c r="A117" s="77">
        <v>45663</v>
      </c>
      <c r="B117" s="113"/>
      <c r="C117" s="7"/>
      <c r="D117" s="79" t="s">
        <v>417</v>
      </c>
      <c r="E117" s="11">
        <f>E113</f>
        <v>13940800</v>
      </c>
      <c r="F117" s="80"/>
      <c r="G117" s="11">
        <f>G113</f>
        <v>13940800</v>
      </c>
      <c r="H117" s="80"/>
      <c r="I117" s="80">
        <f>G117-H117</f>
        <v>13940800</v>
      </c>
      <c r="J117" s="496">
        <v>0</v>
      </c>
      <c r="K117" s="10"/>
      <c r="L117" s="80">
        <f>J117-K117</f>
        <v>0</v>
      </c>
    </row>
    <row r="118" spans="1:12" ht="12.75" customHeight="1" x14ac:dyDescent="0.25">
      <c r="A118" s="81" t="s">
        <v>768</v>
      </c>
      <c r="B118" s="113">
        <v>2001</v>
      </c>
      <c r="C118" s="7"/>
      <c r="D118" s="733" t="s">
        <v>781</v>
      </c>
      <c r="E118" s="733">
        <v>120000</v>
      </c>
      <c r="F118" s="82"/>
      <c r="G118" s="733">
        <v>120000</v>
      </c>
      <c r="H118" s="80"/>
      <c r="I118" s="80">
        <f>I117+G118-H118</f>
        <v>14060800</v>
      </c>
      <c r="J118" s="10"/>
      <c r="K118" s="83"/>
      <c r="L118" s="80">
        <f>L117+J118-K118</f>
        <v>0</v>
      </c>
    </row>
    <row r="119" spans="1:12" ht="12.75" customHeight="1" x14ac:dyDescent="0.25">
      <c r="A119" s="81" t="s">
        <v>768</v>
      </c>
      <c r="B119" s="113">
        <v>2001</v>
      </c>
      <c r="C119" s="7"/>
      <c r="D119" s="733" t="s">
        <v>776</v>
      </c>
      <c r="E119" s="733">
        <v>120000</v>
      </c>
      <c r="F119" s="80"/>
      <c r="G119" s="733">
        <v>120000</v>
      </c>
      <c r="H119" s="80"/>
      <c r="I119" s="80">
        <f t="shared" ref="I119:I135" si="11">I118+G119-H119</f>
        <v>14180800</v>
      </c>
      <c r="J119" s="10"/>
      <c r="K119" s="10"/>
      <c r="L119" s="80">
        <f t="shared" ref="L119:L127" si="12">L118+J119-K119</f>
        <v>0</v>
      </c>
    </row>
    <row r="120" spans="1:12" ht="12.75" customHeight="1" x14ac:dyDescent="0.25">
      <c r="A120" s="81" t="s">
        <v>768</v>
      </c>
      <c r="B120" s="113">
        <v>2002</v>
      </c>
      <c r="C120" s="7"/>
      <c r="D120" s="733" t="s">
        <v>782</v>
      </c>
      <c r="E120" s="733">
        <v>300000</v>
      </c>
      <c r="F120" s="80"/>
      <c r="G120" s="733">
        <v>300000</v>
      </c>
      <c r="H120" s="80"/>
      <c r="I120" s="80">
        <f t="shared" si="11"/>
        <v>14480800</v>
      </c>
      <c r="J120" s="10"/>
      <c r="K120" s="10"/>
      <c r="L120" s="80">
        <f t="shared" si="12"/>
        <v>0</v>
      </c>
    </row>
    <row r="121" spans="1:12" ht="12.75" customHeight="1" x14ac:dyDescent="0.25">
      <c r="A121" s="81" t="s">
        <v>768</v>
      </c>
      <c r="B121" s="113">
        <v>2001</v>
      </c>
      <c r="C121" s="7"/>
      <c r="D121" s="733" t="s">
        <v>783</v>
      </c>
      <c r="E121" s="733">
        <v>120000</v>
      </c>
      <c r="F121" s="80"/>
      <c r="G121" s="733">
        <v>120000</v>
      </c>
      <c r="H121" s="80"/>
      <c r="I121" s="80">
        <f t="shared" si="11"/>
        <v>14600800</v>
      </c>
      <c r="J121" s="10"/>
      <c r="K121" s="10"/>
      <c r="L121" s="80">
        <f t="shared" si="12"/>
        <v>0</v>
      </c>
    </row>
    <row r="122" spans="1:12" ht="12.75" customHeight="1" x14ac:dyDescent="0.25">
      <c r="A122" s="81" t="s">
        <v>768</v>
      </c>
      <c r="B122" s="113">
        <v>2001</v>
      </c>
      <c r="C122" s="7"/>
      <c r="D122" s="733" t="s">
        <v>606</v>
      </c>
      <c r="E122" s="733">
        <v>120000</v>
      </c>
      <c r="F122" s="80"/>
      <c r="G122" s="733">
        <v>120000</v>
      </c>
      <c r="H122" s="80"/>
      <c r="I122" s="80">
        <f t="shared" si="11"/>
        <v>14720800</v>
      </c>
      <c r="J122" s="11"/>
      <c r="K122" s="10"/>
      <c r="L122" s="80">
        <f t="shared" si="12"/>
        <v>0</v>
      </c>
    </row>
    <row r="123" spans="1:12" ht="12.75" customHeight="1" x14ac:dyDescent="0.25">
      <c r="A123" s="81" t="s">
        <v>768</v>
      </c>
      <c r="B123" s="113">
        <v>2001</v>
      </c>
      <c r="C123" s="7"/>
      <c r="D123" s="733" t="s">
        <v>778</v>
      </c>
      <c r="E123" s="733">
        <v>120000</v>
      </c>
      <c r="F123" s="80"/>
      <c r="G123" s="733">
        <v>120000</v>
      </c>
      <c r="H123" s="80"/>
      <c r="I123" s="80">
        <f t="shared" si="11"/>
        <v>14840800</v>
      </c>
      <c r="J123" s="10"/>
      <c r="K123" s="10"/>
      <c r="L123" s="80">
        <f t="shared" si="12"/>
        <v>0</v>
      </c>
    </row>
    <row r="124" spans="1:12" ht="12.75" customHeight="1" x14ac:dyDescent="0.25">
      <c r="A124" s="81" t="s">
        <v>768</v>
      </c>
      <c r="B124" s="113">
        <v>2001</v>
      </c>
      <c r="C124" s="7"/>
      <c r="D124" s="733" t="s">
        <v>598</v>
      </c>
      <c r="E124" s="733">
        <v>120000</v>
      </c>
      <c r="F124" s="80"/>
      <c r="G124" s="733">
        <v>120000</v>
      </c>
      <c r="H124" s="80"/>
      <c r="I124" s="80">
        <f t="shared" si="11"/>
        <v>14960800</v>
      </c>
      <c r="J124" s="10"/>
      <c r="K124" s="10"/>
      <c r="L124" s="80">
        <f t="shared" si="12"/>
        <v>0</v>
      </c>
    </row>
    <row r="125" spans="1:12" ht="12.75" customHeight="1" x14ac:dyDescent="0.25">
      <c r="A125" s="81" t="s">
        <v>768</v>
      </c>
      <c r="B125" s="113">
        <v>2001</v>
      </c>
      <c r="C125" s="7"/>
      <c r="D125" s="733" t="s">
        <v>784</v>
      </c>
      <c r="E125" s="733">
        <v>120000</v>
      </c>
      <c r="F125" s="80"/>
      <c r="G125" s="733">
        <v>120000</v>
      </c>
      <c r="H125" s="80"/>
      <c r="I125" s="80">
        <f t="shared" si="11"/>
        <v>15080800</v>
      </c>
      <c r="J125" s="10"/>
      <c r="K125" s="10"/>
      <c r="L125" s="80">
        <f t="shared" si="12"/>
        <v>0</v>
      </c>
    </row>
    <row r="126" spans="1:12" ht="12.75" customHeight="1" x14ac:dyDescent="0.25">
      <c r="A126" s="81" t="s">
        <v>768</v>
      </c>
      <c r="B126" s="113">
        <v>2002</v>
      </c>
      <c r="C126" s="7"/>
      <c r="D126" s="733" t="s">
        <v>785</v>
      </c>
      <c r="E126" s="733">
        <v>1100000</v>
      </c>
      <c r="F126" s="80"/>
      <c r="G126" s="733">
        <v>1100000</v>
      </c>
      <c r="H126" s="80"/>
      <c r="I126" s="80">
        <f t="shared" si="11"/>
        <v>16180800</v>
      </c>
      <c r="J126" s="10"/>
      <c r="K126" s="10"/>
      <c r="L126" s="80">
        <f t="shared" si="12"/>
        <v>0</v>
      </c>
    </row>
    <row r="127" spans="1:12" ht="12.75" customHeight="1" x14ac:dyDescent="0.25">
      <c r="A127" s="81" t="s">
        <v>768</v>
      </c>
      <c r="B127" s="113">
        <v>2001</v>
      </c>
      <c r="C127" s="7"/>
      <c r="D127" s="733" t="s">
        <v>693</v>
      </c>
      <c r="E127" s="733">
        <v>120000</v>
      </c>
      <c r="F127" s="80"/>
      <c r="G127" s="733">
        <v>120000</v>
      </c>
      <c r="H127" s="80"/>
      <c r="I127" s="80">
        <f t="shared" si="11"/>
        <v>16300800</v>
      </c>
      <c r="J127" s="10"/>
      <c r="K127" s="10"/>
      <c r="L127" s="80">
        <f t="shared" si="12"/>
        <v>0</v>
      </c>
    </row>
    <row r="128" spans="1:12" ht="12.75" customHeight="1" x14ac:dyDescent="0.25">
      <c r="A128" s="81" t="s">
        <v>768</v>
      </c>
      <c r="B128" s="113">
        <v>2001</v>
      </c>
      <c r="C128" s="7"/>
      <c r="D128" s="733" t="s">
        <v>750</v>
      </c>
      <c r="E128" s="733">
        <v>210000</v>
      </c>
      <c r="F128" s="655"/>
      <c r="G128" s="733">
        <v>210000</v>
      </c>
      <c r="H128" s="655"/>
      <c r="I128" s="80">
        <f t="shared" si="11"/>
        <v>16510800</v>
      </c>
      <c r="J128" s="10"/>
      <c r="K128" s="10"/>
      <c r="L128" s="80"/>
    </row>
    <row r="129" spans="1:12" ht="12.75" customHeight="1" x14ac:dyDescent="0.25">
      <c r="A129" s="81" t="s">
        <v>768</v>
      </c>
      <c r="B129" s="113">
        <v>2001</v>
      </c>
      <c r="C129" s="7"/>
      <c r="D129" s="733" t="s">
        <v>786</v>
      </c>
      <c r="E129" s="733">
        <v>120000</v>
      </c>
      <c r="F129" s="655"/>
      <c r="G129" s="733">
        <v>120000</v>
      </c>
      <c r="H129" s="655"/>
      <c r="I129" s="80">
        <f t="shared" si="11"/>
        <v>16630800</v>
      </c>
      <c r="J129" s="10"/>
      <c r="K129" s="10"/>
      <c r="L129" s="80"/>
    </row>
    <row r="130" spans="1:12" ht="12.75" customHeight="1" x14ac:dyDescent="0.25">
      <c r="A130" s="81" t="s">
        <v>768</v>
      </c>
      <c r="B130" s="113">
        <v>2002</v>
      </c>
      <c r="C130" s="7"/>
      <c r="D130" s="734" t="s">
        <v>726</v>
      </c>
      <c r="E130" s="734">
        <v>450000</v>
      </c>
      <c r="F130" s="555"/>
      <c r="G130" s="734">
        <v>450000</v>
      </c>
      <c r="H130" s="555"/>
      <c r="I130" s="80">
        <f t="shared" si="11"/>
        <v>17080800</v>
      </c>
      <c r="J130" s="10"/>
      <c r="K130" s="10"/>
      <c r="L130" s="80"/>
    </row>
    <row r="131" spans="1:12" ht="12.75" customHeight="1" x14ac:dyDescent="0.25">
      <c r="A131" s="81" t="s">
        <v>768</v>
      </c>
      <c r="B131" s="113">
        <v>2002</v>
      </c>
      <c r="C131" s="7"/>
      <c r="D131" s="734" t="s">
        <v>787</v>
      </c>
      <c r="E131" s="734">
        <v>500000</v>
      </c>
      <c r="F131" s="555"/>
      <c r="G131" s="734">
        <v>500000</v>
      </c>
      <c r="H131" s="555"/>
      <c r="I131" s="80">
        <f t="shared" si="11"/>
        <v>17580800</v>
      </c>
      <c r="J131" s="10"/>
      <c r="K131" s="10"/>
      <c r="L131" s="80"/>
    </row>
    <row r="132" spans="1:12" ht="12.75" customHeight="1" x14ac:dyDescent="0.25">
      <c r="A132" s="81" t="s">
        <v>768</v>
      </c>
      <c r="B132" s="113">
        <v>2001</v>
      </c>
      <c r="C132" s="7"/>
      <c r="D132" s="555" t="s">
        <v>725</v>
      </c>
      <c r="E132" s="555">
        <v>100000</v>
      </c>
      <c r="F132" s="555"/>
      <c r="G132" s="555">
        <v>100000</v>
      </c>
      <c r="H132" s="555"/>
      <c r="I132" s="80">
        <f t="shared" si="11"/>
        <v>17680800</v>
      </c>
      <c r="J132" s="10"/>
      <c r="K132" s="10"/>
      <c r="L132" s="80"/>
    </row>
    <row r="133" spans="1:12" ht="12.75" customHeight="1" x14ac:dyDescent="0.25">
      <c r="A133" s="81" t="s">
        <v>768</v>
      </c>
      <c r="B133" s="98">
        <v>5109</v>
      </c>
      <c r="C133" s="7"/>
      <c r="D133" s="735" t="s">
        <v>788</v>
      </c>
      <c r="E133" s="735"/>
      <c r="F133" s="735">
        <v>150000</v>
      </c>
      <c r="G133" s="555"/>
      <c r="H133" s="735">
        <v>150000</v>
      </c>
      <c r="I133" s="80">
        <f t="shared" si="11"/>
        <v>17530800</v>
      </c>
      <c r="J133" s="10"/>
      <c r="K133" s="10"/>
      <c r="L133" s="80"/>
    </row>
    <row r="134" spans="1:12" ht="12.75" customHeight="1" x14ac:dyDescent="0.25">
      <c r="A134" s="81" t="s">
        <v>768</v>
      </c>
      <c r="B134" s="98">
        <v>5109</v>
      </c>
      <c r="C134" s="7"/>
      <c r="D134" s="735" t="s">
        <v>789</v>
      </c>
      <c r="E134" s="735"/>
      <c r="F134" s="735">
        <v>210000</v>
      </c>
      <c r="G134" s="555"/>
      <c r="H134" s="735">
        <v>210000</v>
      </c>
      <c r="I134" s="80">
        <f t="shared" si="11"/>
        <v>17320800</v>
      </c>
      <c r="J134" s="10"/>
      <c r="K134" s="10"/>
      <c r="L134" s="80"/>
    </row>
    <row r="135" spans="1:12" ht="12.75" customHeight="1" x14ac:dyDescent="0.25">
      <c r="A135" s="81" t="s">
        <v>768</v>
      </c>
      <c r="B135" s="98">
        <v>3001</v>
      </c>
      <c r="C135" s="7"/>
      <c r="D135" s="735" t="s">
        <v>790</v>
      </c>
      <c r="E135" s="735"/>
      <c r="F135" s="735">
        <v>500000</v>
      </c>
      <c r="G135" s="555"/>
      <c r="H135" s="735">
        <v>500000</v>
      </c>
      <c r="I135" s="80">
        <f t="shared" si="11"/>
        <v>16820800</v>
      </c>
      <c r="J135" s="10"/>
      <c r="K135" s="10"/>
      <c r="L135" s="80"/>
    </row>
    <row r="136" spans="1:12" ht="12.75" customHeight="1" x14ac:dyDescent="0.25">
      <c r="A136" s="86"/>
      <c r="B136" s="712"/>
      <c r="C136" s="87"/>
      <c r="D136" s="88" t="s">
        <v>63</v>
      </c>
      <c r="E136" s="89">
        <f>SUM(E118:E135)</f>
        <v>3740000</v>
      </c>
      <c r="F136" s="89">
        <f>SUM(F118:F135)</f>
        <v>860000</v>
      </c>
      <c r="G136" s="89">
        <f>SUM(G118:G135)</f>
        <v>3740000</v>
      </c>
      <c r="H136" s="89">
        <f>SUM(H118:H135)</f>
        <v>860000</v>
      </c>
      <c r="I136" s="90"/>
      <c r="J136" s="90">
        <f>SUM(J118:J135)</f>
        <v>0</v>
      </c>
      <c r="K136" s="90">
        <f>SUM(K118:K135)</f>
        <v>0</v>
      </c>
      <c r="L136" s="90"/>
    </row>
    <row r="137" spans="1:12" ht="12.75" customHeight="1" x14ac:dyDescent="0.25">
      <c r="A137" s="86"/>
      <c r="B137" s="712"/>
      <c r="C137" s="87"/>
      <c r="D137" s="88" t="s">
        <v>64</v>
      </c>
      <c r="E137" s="89">
        <f>E117+E136</f>
        <v>17680800</v>
      </c>
      <c r="F137" s="89">
        <f>F117+F136</f>
        <v>860000</v>
      </c>
      <c r="G137" s="89">
        <f>G117+G136</f>
        <v>17680800</v>
      </c>
      <c r="H137" s="89">
        <f>H117+H136</f>
        <v>860000</v>
      </c>
      <c r="I137" s="90"/>
      <c r="J137" s="90">
        <f>J117+J136</f>
        <v>0</v>
      </c>
      <c r="K137" s="90">
        <f>K117+K136</f>
        <v>0</v>
      </c>
      <c r="L137" s="90"/>
    </row>
    <row r="138" spans="1:12" ht="12.75" customHeight="1" x14ac:dyDescent="0.25">
      <c r="A138" s="86"/>
      <c r="B138" s="712"/>
      <c r="C138" s="87"/>
      <c r="D138" s="88" t="s">
        <v>65</v>
      </c>
      <c r="E138" s="89">
        <f>E137-F137</f>
        <v>16820800</v>
      </c>
      <c r="F138" s="86"/>
      <c r="G138" s="89">
        <f>G137-H137</f>
        <v>16820800</v>
      </c>
      <c r="H138" s="86"/>
      <c r="I138" s="86"/>
      <c r="J138" s="90">
        <f>J137-K137</f>
        <v>0</v>
      </c>
      <c r="K138" s="86"/>
      <c r="L138" s="86"/>
    </row>
    <row r="139" spans="1:12" ht="12.75" customHeight="1" x14ac:dyDescent="0.25"/>
    <row r="140" spans="1:12" ht="12.75" customHeight="1" x14ac:dyDescent="0.25">
      <c r="A140" s="886" t="s">
        <v>19</v>
      </c>
      <c r="B140" s="886" t="s">
        <v>9</v>
      </c>
      <c r="C140" s="327" t="s">
        <v>197</v>
      </c>
      <c r="D140" s="899" t="s">
        <v>20</v>
      </c>
      <c r="E140" s="903" t="s">
        <v>357</v>
      </c>
      <c r="F140" s="904"/>
      <c r="G140" s="886" t="s">
        <v>0</v>
      </c>
      <c r="H140" s="886"/>
      <c r="I140" s="886"/>
      <c r="J140" s="886" t="s">
        <v>1</v>
      </c>
      <c r="K140" s="886"/>
      <c r="L140" s="886"/>
    </row>
    <row r="141" spans="1:12" ht="12.75" customHeight="1" x14ac:dyDescent="0.25">
      <c r="A141" s="887"/>
      <c r="B141" s="887"/>
      <c r="C141" s="328"/>
      <c r="D141" s="900"/>
      <c r="E141" s="75" t="s">
        <v>11</v>
      </c>
      <c r="F141" s="76" t="s">
        <v>12</v>
      </c>
      <c r="G141" s="326" t="s">
        <v>11</v>
      </c>
      <c r="H141" s="326" t="s">
        <v>12</v>
      </c>
      <c r="I141" s="326" t="s">
        <v>21</v>
      </c>
      <c r="J141" s="326" t="s">
        <v>11</v>
      </c>
      <c r="K141" s="326" t="s">
        <v>12</v>
      </c>
      <c r="L141" s="326" t="s">
        <v>21</v>
      </c>
    </row>
    <row r="142" spans="1:12" ht="12.75" customHeight="1" x14ac:dyDescent="0.25">
      <c r="A142" s="77">
        <v>45664</v>
      </c>
      <c r="B142" s="113"/>
      <c r="C142" s="7"/>
      <c r="D142" s="261" t="s">
        <v>444</v>
      </c>
      <c r="E142" s="11">
        <f>E138</f>
        <v>16820800</v>
      </c>
      <c r="F142" s="80"/>
      <c r="G142" s="11">
        <f>G138</f>
        <v>16820800</v>
      </c>
      <c r="H142" s="80"/>
      <c r="I142" s="80">
        <f>G142-H142</f>
        <v>16820800</v>
      </c>
      <c r="J142" s="496">
        <v>0</v>
      </c>
      <c r="K142" s="10"/>
      <c r="L142" s="80">
        <f>J142-K142</f>
        <v>0</v>
      </c>
    </row>
    <row r="143" spans="1:12" ht="12.75" customHeight="1" x14ac:dyDescent="0.25">
      <c r="A143" s="81" t="s">
        <v>769</v>
      </c>
      <c r="B143" s="113">
        <v>2001</v>
      </c>
      <c r="C143" s="7"/>
      <c r="D143" s="736" t="s">
        <v>791</v>
      </c>
      <c r="E143" s="736">
        <v>120000</v>
      </c>
      <c r="F143" s="82"/>
      <c r="G143" s="736">
        <v>120000</v>
      </c>
      <c r="H143" s="82"/>
      <c r="I143" s="80">
        <f>I142+G143-H143</f>
        <v>16940800</v>
      </c>
      <c r="J143" s="10"/>
      <c r="K143" s="83"/>
      <c r="L143" s="80">
        <f>L142+J143-K143</f>
        <v>0</v>
      </c>
    </row>
    <row r="144" spans="1:12" ht="12.75" customHeight="1" x14ac:dyDescent="0.25">
      <c r="A144" s="81" t="s">
        <v>769</v>
      </c>
      <c r="B144" s="98">
        <v>3001</v>
      </c>
      <c r="C144" s="7"/>
      <c r="D144" s="736" t="s">
        <v>792</v>
      </c>
      <c r="E144" s="736">
        <v>500000</v>
      </c>
      <c r="F144" s="80"/>
      <c r="G144" s="736">
        <v>500000</v>
      </c>
      <c r="H144" s="80"/>
      <c r="I144" s="80">
        <f t="shared" ref="I144:I158" si="13">I143+G144-H144</f>
        <v>17440800</v>
      </c>
      <c r="J144" s="10"/>
      <c r="K144" s="10"/>
      <c r="L144" s="80">
        <f>L143+J144-K144</f>
        <v>0</v>
      </c>
    </row>
    <row r="145" spans="1:12" ht="12.75" customHeight="1" x14ac:dyDescent="0.25">
      <c r="A145" s="81" t="s">
        <v>769</v>
      </c>
      <c r="B145" s="113">
        <v>2001</v>
      </c>
      <c r="C145" s="7"/>
      <c r="D145" s="736" t="s">
        <v>601</v>
      </c>
      <c r="E145" s="736">
        <v>120000</v>
      </c>
      <c r="F145" s="80"/>
      <c r="G145" s="736">
        <v>120000</v>
      </c>
      <c r="H145" s="80"/>
      <c r="I145" s="80">
        <f t="shared" si="13"/>
        <v>17560800</v>
      </c>
      <c r="J145" s="10"/>
      <c r="K145" s="10"/>
      <c r="L145" s="80">
        <f t="shared" ref="L145:L158" si="14">L144+J145-K145</f>
        <v>0</v>
      </c>
    </row>
    <row r="146" spans="1:12" ht="12.75" customHeight="1" x14ac:dyDescent="0.25">
      <c r="A146" s="81" t="s">
        <v>769</v>
      </c>
      <c r="B146" s="113">
        <v>2001</v>
      </c>
      <c r="C146" s="7"/>
      <c r="D146" s="736" t="s">
        <v>793</v>
      </c>
      <c r="E146" s="736">
        <v>90000</v>
      </c>
      <c r="F146" s="80"/>
      <c r="G146" s="736">
        <v>90000</v>
      </c>
      <c r="H146" s="80"/>
      <c r="I146" s="80">
        <f t="shared" si="13"/>
        <v>17650800</v>
      </c>
      <c r="J146" s="10"/>
      <c r="K146" s="10"/>
      <c r="L146" s="80">
        <f t="shared" si="14"/>
        <v>0</v>
      </c>
    </row>
    <row r="147" spans="1:12" ht="12.75" customHeight="1" x14ac:dyDescent="0.25">
      <c r="A147" s="81" t="s">
        <v>769</v>
      </c>
      <c r="B147" s="113">
        <v>2001</v>
      </c>
      <c r="C147" s="7"/>
      <c r="D147" s="736" t="s">
        <v>776</v>
      </c>
      <c r="E147" s="736">
        <v>120000</v>
      </c>
      <c r="F147" s="80"/>
      <c r="G147" s="736">
        <v>120000</v>
      </c>
      <c r="H147" s="80"/>
      <c r="I147" s="80">
        <f t="shared" si="13"/>
        <v>17770800</v>
      </c>
      <c r="J147" s="11"/>
      <c r="K147" s="10"/>
      <c r="L147" s="80">
        <f t="shared" si="14"/>
        <v>0</v>
      </c>
    </row>
    <row r="148" spans="1:12" ht="12.75" customHeight="1" x14ac:dyDescent="0.25">
      <c r="A148" s="81" t="s">
        <v>769</v>
      </c>
      <c r="B148" s="113">
        <v>2002</v>
      </c>
      <c r="C148" s="7"/>
      <c r="D148" s="736" t="s">
        <v>794</v>
      </c>
      <c r="E148" s="736">
        <v>400000</v>
      </c>
      <c r="F148" s="80"/>
      <c r="G148" s="736">
        <v>400000</v>
      </c>
      <c r="H148" s="80"/>
      <c r="I148" s="80">
        <f t="shared" si="13"/>
        <v>18170800</v>
      </c>
      <c r="J148" s="10"/>
      <c r="K148" s="10"/>
      <c r="L148" s="80">
        <f t="shared" si="14"/>
        <v>0</v>
      </c>
    </row>
    <row r="149" spans="1:12" ht="12.75" customHeight="1" x14ac:dyDescent="0.25">
      <c r="A149" s="81" t="s">
        <v>769</v>
      </c>
      <c r="B149" s="113">
        <v>2002</v>
      </c>
      <c r="C149" s="7"/>
      <c r="D149" s="736" t="s">
        <v>795</v>
      </c>
      <c r="E149" s="736">
        <v>400000</v>
      </c>
      <c r="F149" s="80"/>
      <c r="G149" s="736">
        <v>400000</v>
      </c>
      <c r="H149" s="80"/>
      <c r="I149" s="80">
        <f t="shared" si="13"/>
        <v>18570800</v>
      </c>
      <c r="J149" s="10"/>
      <c r="K149" s="10"/>
      <c r="L149" s="80">
        <f t="shared" si="14"/>
        <v>0</v>
      </c>
    </row>
    <row r="150" spans="1:12" ht="12.75" customHeight="1" x14ac:dyDescent="0.25">
      <c r="A150" s="81" t="s">
        <v>769</v>
      </c>
      <c r="B150" s="113">
        <v>2001</v>
      </c>
      <c r="C150" s="7"/>
      <c r="D150" s="736" t="s">
        <v>606</v>
      </c>
      <c r="E150" s="736">
        <v>120000</v>
      </c>
      <c r="F150" s="80"/>
      <c r="G150" s="736">
        <v>120000</v>
      </c>
      <c r="H150" s="80"/>
      <c r="I150" s="80">
        <f t="shared" si="13"/>
        <v>18690800</v>
      </c>
      <c r="J150" s="10"/>
      <c r="K150" s="10"/>
      <c r="L150" s="80">
        <f t="shared" si="14"/>
        <v>0</v>
      </c>
    </row>
    <row r="151" spans="1:12" ht="12.75" customHeight="1" x14ac:dyDescent="0.25">
      <c r="A151" s="81" t="s">
        <v>769</v>
      </c>
      <c r="B151" s="113">
        <v>2001</v>
      </c>
      <c r="C151" s="7"/>
      <c r="D151" s="736" t="s">
        <v>796</v>
      </c>
      <c r="E151" s="736">
        <v>120000</v>
      </c>
      <c r="F151" s="80"/>
      <c r="G151" s="736">
        <v>120000</v>
      </c>
      <c r="H151" s="80"/>
      <c r="I151" s="80">
        <f t="shared" si="13"/>
        <v>18810800</v>
      </c>
      <c r="J151" s="10"/>
      <c r="K151" s="10"/>
      <c r="L151" s="80">
        <f t="shared" si="14"/>
        <v>0</v>
      </c>
    </row>
    <row r="152" spans="1:12" ht="12.75" customHeight="1" x14ac:dyDescent="0.25">
      <c r="A152" s="81" t="s">
        <v>769</v>
      </c>
      <c r="B152" s="113">
        <v>2001</v>
      </c>
      <c r="C152" s="7"/>
      <c r="D152" s="737" t="s">
        <v>600</v>
      </c>
      <c r="E152" s="736">
        <v>120000</v>
      </c>
      <c r="F152" s="80"/>
      <c r="G152" s="736">
        <v>120000</v>
      </c>
      <c r="H152" s="80"/>
      <c r="I152" s="80">
        <f t="shared" si="13"/>
        <v>18930800</v>
      </c>
      <c r="J152" s="10"/>
      <c r="K152" s="10"/>
      <c r="L152" s="80">
        <f t="shared" si="14"/>
        <v>0</v>
      </c>
    </row>
    <row r="153" spans="1:12" ht="12.75" customHeight="1" x14ac:dyDescent="0.25">
      <c r="A153" s="81" t="s">
        <v>769</v>
      </c>
      <c r="B153" s="113">
        <v>2001</v>
      </c>
      <c r="C153" s="7"/>
      <c r="D153" s="738" t="s">
        <v>797</v>
      </c>
      <c r="E153" s="736">
        <v>120000</v>
      </c>
      <c r="F153" s="80"/>
      <c r="G153" s="736">
        <v>120000</v>
      </c>
      <c r="H153" s="80"/>
      <c r="I153" s="80">
        <f t="shared" si="13"/>
        <v>19050800</v>
      </c>
      <c r="J153" s="10"/>
      <c r="K153" s="10"/>
      <c r="L153" s="80">
        <f t="shared" si="14"/>
        <v>0</v>
      </c>
    </row>
    <row r="154" spans="1:12" ht="12.75" customHeight="1" x14ac:dyDescent="0.25">
      <c r="A154" s="81" t="s">
        <v>769</v>
      </c>
      <c r="B154" s="113">
        <v>2001</v>
      </c>
      <c r="C154" s="7"/>
      <c r="D154" s="738" t="s">
        <v>604</v>
      </c>
      <c r="E154" s="738">
        <v>120000</v>
      </c>
      <c r="F154" s="80"/>
      <c r="G154" s="738">
        <v>120000</v>
      </c>
      <c r="H154" s="80"/>
      <c r="I154" s="80">
        <f t="shared" si="13"/>
        <v>19170800</v>
      </c>
      <c r="J154" s="10"/>
      <c r="K154" s="10"/>
      <c r="L154" s="80">
        <f t="shared" si="14"/>
        <v>0</v>
      </c>
    </row>
    <row r="155" spans="1:12" ht="12.75" customHeight="1" x14ac:dyDescent="0.25">
      <c r="A155" s="81" t="s">
        <v>769</v>
      </c>
      <c r="B155" s="113">
        <v>2001</v>
      </c>
      <c r="C155" s="7"/>
      <c r="D155" s="738" t="s">
        <v>750</v>
      </c>
      <c r="E155" s="738">
        <v>240000</v>
      </c>
      <c r="F155" s="555"/>
      <c r="G155" s="738">
        <v>240000</v>
      </c>
      <c r="H155" s="555"/>
      <c r="I155" s="80">
        <f t="shared" si="13"/>
        <v>19410800</v>
      </c>
      <c r="J155" s="10"/>
      <c r="K155" s="10"/>
      <c r="L155" s="80">
        <f t="shared" si="14"/>
        <v>0</v>
      </c>
    </row>
    <row r="156" spans="1:12" ht="12.75" customHeight="1" x14ac:dyDescent="0.25">
      <c r="A156" s="81" t="s">
        <v>769</v>
      </c>
      <c r="B156" s="98">
        <v>5104</v>
      </c>
      <c r="C156" s="7"/>
      <c r="D156" s="739" t="s">
        <v>605</v>
      </c>
      <c r="E156" s="739"/>
      <c r="F156" s="739">
        <v>105000</v>
      </c>
      <c r="G156" s="555"/>
      <c r="H156" s="739">
        <v>105000</v>
      </c>
      <c r="I156" s="80">
        <f t="shared" si="13"/>
        <v>19305800</v>
      </c>
      <c r="J156" s="10"/>
      <c r="K156" s="10"/>
      <c r="L156" s="80">
        <f t="shared" si="14"/>
        <v>0</v>
      </c>
    </row>
    <row r="157" spans="1:12" ht="12.75" customHeight="1" x14ac:dyDescent="0.25">
      <c r="A157" s="81" t="s">
        <v>769</v>
      </c>
      <c r="B157" s="98">
        <v>5104</v>
      </c>
      <c r="C157" s="7"/>
      <c r="D157" s="739" t="s">
        <v>798</v>
      </c>
      <c r="E157" s="739"/>
      <c r="F157" s="739">
        <v>200000</v>
      </c>
      <c r="G157" s="555"/>
      <c r="H157" s="739">
        <v>200000</v>
      </c>
      <c r="I157" s="80">
        <f t="shared" si="13"/>
        <v>19105800</v>
      </c>
      <c r="J157" s="10"/>
      <c r="K157" s="10"/>
      <c r="L157" s="80">
        <f t="shared" si="14"/>
        <v>0</v>
      </c>
    </row>
    <row r="158" spans="1:12" ht="12.75" customHeight="1" x14ac:dyDescent="0.25">
      <c r="A158" s="81" t="s">
        <v>769</v>
      </c>
      <c r="B158" s="98">
        <v>5109</v>
      </c>
      <c r="C158" s="7"/>
      <c r="D158" s="739" t="s">
        <v>799</v>
      </c>
      <c r="E158" s="739"/>
      <c r="F158" s="739">
        <v>50000</v>
      </c>
      <c r="G158" s="655"/>
      <c r="H158" s="739">
        <v>50000</v>
      </c>
      <c r="I158" s="80">
        <f t="shared" si="13"/>
        <v>19055800</v>
      </c>
      <c r="J158" s="10"/>
      <c r="K158" s="10"/>
      <c r="L158" s="80">
        <f t="shared" si="14"/>
        <v>0</v>
      </c>
    </row>
    <row r="159" spans="1:12" ht="12.75" customHeight="1" x14ac:dyDescent="0.25">
      <c r="A159" s="86"/>
      <c r="B159" s="712"/>
      <c r="C159" s="87"/>
      <c r="D159" s="88" t="s">
        <v>63</v>
      </c>
      <c r="E159" s="89">
        <f>SUM(E143:E158)</f>
        <v>2590000</v>
      </c>
      <c r="F159" s="89">
        <f>SUM(F143:F158)</f>
        <v>355000</v>
      </c>
      <c r="G159" s="89">
        <f>SUM(G143:G158)</f>
        <v>2590000</v>
      </c>
      <c r="H159" s="89">
        <f>SUM(H143:H158)</f>
        <v>355000</v>
      </c>
      <c r="I159" s="90"/>
      <c r="J159" s="90">
        <f>SUM(J143:J158)</f>
        <v>0</v>
      </c>
      <c r="K159" s="90">
        <f>SUM(K143:K158)</f>
        <v>0</v>
      </c>
      <c r="L159" s="90"/>
    </row>
    <row r="160" spans="1:12" ht="12.75" customHeight="1" x14ac:dyDescent="0.25">
      <c r="A160" s="86"/>
      <c r="B160" s="712"/>
      <c r="C160" s="87"/>
      <c r="D160" s="88" t="s">
        <v>64</v>
      </c>
      <c r="E160" s="89">
        <f>E142+E159</f>
        <v>19410800</v>
      </c>
      <c r="F160" s="89">
        <f>F142+F159</f>
        <v>355000</v>
      </c>
      <c r="G160" s="89">
        <f>G142+G159</f>
        <v>19410800</v>
      </c>
      <c r="H160" s="89">
        <f>H142+H159</f>
        <v>355000</v>
      </c>
      <c r="I160" s="90"/>
      <c r="J160" s="90">
        <f>J142+J159</f>
        <v>0</v>
      </c>
      <c r="K160" s="90">
        <f>K142+K159</f>
        <v>0</v>
      </c>
      <c r="L160" s="90"/>
    </row>
    <row r="161" spans="1:12" ht="12.75" customHeight="1" x14ac:dyDescent="0.25">
      <c r="A161" s="86"/>
      <c r="B161" s="712"/>
      <c r="C161" s="87"/>
      <c r="D161" s="88" t="s">
        <v>65</v>
      </c>
      <c r="E161" s="89">
        <f>E160-F160</f>
        <v>19055800</v>
      </c>
      <c r="F161" s="86"/>
      <c r="G161" s="89">
        <f>G160-H160</f>
        <v>19055800</v>
      </c>
      <c r="H161" s="86"/>
      <c r="I161" s="86"/>
      <c r="J161" s="90">
        <f>J160-K160</f>
        <v>0</v>
      </c>
      <c r="K161" s="86"/>
      <c r="L161" s="86"/>
    </row>
    <row r="162" spans="1:12" ht="12.75" customHeight="1" x14ac:dyDescent="0.25"/>
    <row r="163" spans="1:12" ht="12.75" customHeight="1" x14ac:dyDescent="0.25">
      <c r="A163" s="886" t="s">
        <v>19</v>
      </c>
      <c r="B163" s="886" t="s">
        <v>9</v>
      </c>
      <c r="C163" s="327" t="s">
        <v>197</v>
      </c>
      <c r="D163" s="899" t="s">
        <v>20</v>
      </c>
      <c r="E163" s="903" t="s">
        <v>357</v>
      </c>
      <c r="F163" s="904"/>
      <c r="G163" s="886" t="s">
        <v>0</v>
      </c>
      <c r="H163" s="886"/>
      <c r="I163" s="886"/>
      <c r="J163" s="886" t="s">
        <v>1</v>
      </c>
      <c r="K163" s="886"/>
      <c r="L163" s="886"/>
    </row>
    <row r="164" spans="1:12" ht="12.75" customHeight="1" x14ac:dyDescent="0.25">
      <c r="A164" s="887"/>
      <c r="B164" s="887"/>
      <c r="C164" s="328"/>
      <c r="D164" s="900"/>
      <c r="E164" s="75" t="s">
        <v>11</v>
      </c>
      <c r="F164" s="76" t="s">
        <v>12</v>
      </c>
      <c r="G164" s="326" t="s">
        <v>11</v>
      </c>
      <c r="H164" s="326" t="s">
        <v>12</v>
      </c>
      <c r="I164" s="326" t="s">
        <v>21</v>
      </c>
      <c r="J164" s="326" t="s">
        <v>11</v>
      </c>
      <c r="K164" s="326" t="s">
        <v>12</v>
      </c>
      <c r="L164" s="326" t="s">
        <v>21</v>
      </c>
    </row>
    <row r="165" spans="1:12" ht="12.75" customHeight="1" x14ac:dyDescent="0.25">
      <c r="A165" s="77">
        <v>45665</v>
      </c>
      <c r="B165" s="113"/>
      <c r="C165" s="7"/>
      <c r="D165" s="79" t="s">
        <v>800</v>
      </c>
      <c r="E165" s="11">
        <f>E161</f>
        <v>19055800</v>
      </c>
      <c r="F165" s="80"/>
      <c r="G165" s="11">
        <f>G161</f>
        <v>19055800</v>
      </c>
      <c r="H165" s="80"/>
      <c r="I165" s="80">
        <f>G165-H165</f>
        <v>19055800</v>
      </c>
      <c r="J165" s="496">
        <v>0</v>
      </c>
      <c r="K165" s="10"/>
      <c r="L165" s="80">
        <f>J165-K165</f>
        <v>0</v>
      </c>
    </row>
    <row r="166" spans="1:12" ht="12.75" customHeight="1" x14ac:dyDescent="0.25">
      <c r="A166" s="81" t="s">
        <v>770</v>
      </c>
      <c r="B166" s="113">
        <v>2001</v>
      </c>
      <c r="C166" s="7"/>
      <c r="D166" s="740" t="s">
        <v>797</v>
      </c>
      <c r="E166" s="740">
        <v>120000</v>
      </c>
      <c r="F166" s="82"/>
      <c r="G166" s="740">
        <v>120000</v>
      </c>
      <c r="H166" s="80"/>
      <c r="I166" s="80">
        <f>I165+G166-H166</f>
        <v>19175800</v>
      </c>
      <c r="J166" s="10"/>
      <c r="K166" s="83"/>
      <c r="L166" s="80">
        <f t="shared" ref="L166:L181" si="15">L165+J166-K166</f>
        <v>0</v>
      </c>
    </row>
    <row r="167" spans="1:12" ht="12.75" customHeight="1" x14ac:dyDescent="0.25">
      <c r="A167" s="81" t="s">
        <v>770</v>
      </c>
      <c r="B167" s="113">
        <v>2001</v>
      </c>
      <c r="C167" s="7"/>
      <c r="D167" s="740" t="s">
        <v>776</v>
      </c>
      <c r="E167" s="740">
        <v>120000</v>
      </c>
      <c r="F167" s="80"/>
      <c r="G167" s="740">
        <v>120000</v>
      </c>
      <c r="H167" s="80"/>
      <c r="I167" s="80">
        <f t="shared" ref="I167:I181" si="16">I166+G167-H167</f>
        <v>19295800</v>
      </c>
      <c r="J167" s="10"/>
      <c r="K167" s="10"/>
      <c r="L167" s="80">
        <f t="shared" si="15"/>
        <v>0</v>
      </c>
    </row>
    <row r="168" spans="1:12" ht="12.75" customHeight="1" x14ac:dyDescent="0.25">
      <c r="A168" s="81" t="s">
        <v>770</v>
      </c>
      <c r="B168" s="113">
        <v>2001</v>
      </c>
      <c r="C168" s="7"/>
      <c r="D168" s="740" t="s">
        <v>801</v>
      </c>
      <c r="E168" s="740">
        <v>100000</v>
      </c>
      <c r="F168" s="80"/>
      <c r="G168" s="740">
        <v>100000</v>
      </c>
      <c r="H168" s="80"/>
      <c r="I168" s="80">
        <f t="shared" si="16"/>
        <v>19395800</v>
      </c>
      <c r="J168" s="10"/>
      <c r="K168" s="10"/>
      <c r="L168" s="80">
        <f t="shared" si="15"/>
        <v>0</v>
      </c>
    </row>
    <row r="169" spans="1:12" ht="12.75" customHeight="1" x14ac:dyDescent="0.25">
      <c r="A169" s="81" t="s">
        <v>770</v>
      </c>
      <c r="B169" s="113">
        <v>2001</v>
      </c>
      <c r="C169" s="7"/>
      <c r="D169" s="740" t="s">
        <v>783</v>
      </c>
      <c r="E169" s="740">
        <v>120000</v>
      </c>
      <c r="F169" s="80"/>
      <c r="G169" s="740">
        <v>120000</v>
      </c>
      <c r="H169" s="80"/>
      <c r="I169" s="80">
        <f t="shared" si="16"/>
        <v>19515800</v>
      </c>
      <c r="J169" s="10"/>
      <c r="K169" s="10"/>
      <c r="L169" s="80">
        <f t="shared" si="15"/>
        <v>0</v>
      </c>
    </row>
    <row r="170" spans="1:12" ht="12.75" customHeight="1" x14ac:dyDescent="0.25">
      <c r="A170" s="81" t="s">
        <v>770</v>
      </c>
      <c r="B170" s="113">
        <v>2001</v>
      </c>
      <c r="C170" s="7"/>
      <c r="D170" s="740" t="s">
        <v>753</v>
      </c>
      <c r="E170" s="740">
        <v>120000</v>
      </c>
      <c r="F170" s="80"/>
      <c r="G170" s="740">
        <v>120000</v>
      </c>
      <c r="H170" s="80"/>
      <c r="I170" s="80">
        <f t="shared" si="16"/>
        <v>19635800</v>
      </c>
      <c r="J170" s="10"/>
      <c r="K170" s="10"/>
      <c r="L170" s="80">
        <f t="shared" si="15"/>
        <v>0</v>
      </c>
    </row>
    <row r="171" spans="1:12" ht="12.75" customHeight="1" x14ac:dyDescent="0.25">
      <c r="A171" s="81" t="s">
        <v>770</v>
      </c>
      <c r="B171" s="113">
        <v>2001</v>
      </c>
      <c r="C171" s="7"/>
      <c r="D171" s="740" t="s">
        <v>601</v>
      </c>
      <c r="E171" s="740">
        <v>120000</v>
      </c>
      <c r="F171" s="80"/>
      <c r="G171" s="740">
        <v>120000</v>
      </c>
      <c r="H171" s="80"/>
      <c r="I171" s="80">
        <f t="shared" si="16"/>
        <v>19755800</v>
      </c>
      <c r="J171" s="10"/>
      <c r="K171" s="10"/>
      <c r="L171" s="80">
        <f t="shared" si="15"/>
        <v>0</v>
      </c>
    </row>
    <row r="172" spans="1:12" ht="12.75" customHeight="1" x14ac:dyDescent="0.25">
      <c r="A172" s="81" t="s">
        <v>770</v>
      </c>
      <c r="B172" s="113">
        <v>2001</v>
      </c>
      <c r="C172" s="7"/>
      <c r="D172" s="740" t="s">
        <v>802</v>
      </c>
      <c r="E172" s="740">
        <v>60000</v>
      </c>
      <c r="F172" s="80"/>
      <c r="G172" s="740">
        <v>60000</v>
      </c>
      <c r="H172" s="80"/>
      <c r="I172" s="80">
        <f t="shared" si="16"/>
        <v>19815800</v>
      </c>
      <c r="J172" s="10"/>
      <c r="K172" s="10"/>
      <c r="L172" s="80">
        <f t="shared" si="15"/>
        <v>0</v>
      </c>
    </row>
    <row r="173" spans="1:12" ht="12.75" customHeight="1" x14ac:dyDescent="0.25">
      <c r="A173" s="81" t="s">
        <v>770</v>
      </c>
      <c r="B173" s="113">
        <v>2001</v>
      </c>
      <c r="C173" s="7"/>
      <c r="D173" s="740" t="s">
        <v>604</v>
      </c>
      <c r="E173" s="740">
        <v>120000</v>
      </c>
      <c r="F173" s="80"/>
      <c r="G173" s="740">
        <v>120000</v>
      </c>
      <c r="H173" s="80"/>
      <c r="I173" s="80">
        <f t="shared" si="16"/>
        <v>19935800</v>
      </c>
      <c r="J173" s="10"/>
      <c r="K173" s="10"/>
      <c r="L173" s="80">
        <f t="shared" si="15"/>
        <v>0</v>
      </c>
    </row>
    <row r="174" spans="1:12" ht="12.75" customHeight="1" x14ac:dyDescent="0.25">
      <c r="A174" s="81" t="s">
        <v>770</v>
      </c>
      <c r="B174" s="113">
        <v>2001</v>
      </c>
      <c r="C174" s="7"/>
      <c r="D174" s="740" t="s">
        <v>598</v>
      </c>
      <c r="E174" s="740">
        <v>120000</v>
      </c>
      <c r="F174" s="80"/>
      <c r="G174" s="740">
        <v>120000</v>
      </c>
      <c r="H174" s="80"/>
      <c r="I174" s="80">
        <f t="shared" si="16"/>
        <v>20055800</v>
      </c>
      <c r="J174" s="10"/>
      <c r="K174" s="10"/>
      <c r="L174" s="80">
        <f t="shared" si="15"/>
        <v>0</v>
      </c>
    </row>
    <row r="175" spans="1:12" ht="12.75" customHeight="1" x14ac:dyDescent="0.25">
      <c r="A175" s="81" t="s">
        <v>770</v>
      </c>
      <c r="B175" s="113">
        <v>2001</v>
      </c>
      <c r="C175" s="7"/>
      <c r="D175" s="740" t="s">
        <v>803</v>
      </c>
      <c r="E175" s="740">
        <v>120000</v>
      </c>
      <c r="F175" s="80"/>
      <c r="G175" s="740">
        <v>120000</v>
      </c>
      <c r="H175" s="80"/>
      <c r="I175" s="80">
        <f t="shared" si="16"/>
        <v>20175800</v>
      </c>
      <c r="J175" s="10"/>
      <c r="K175" s="10"/>
      <c r="L175" s="80">
        <f t="shared" si="15"/>
        <v>0</v>
      </c>
    </row>
    <row r="176" spans="1:12" ht="12.75" customHeight="1" x14ac:dyDescent="0.25">
      <c r="A176" s="81" t="s">
        <v>770</v>
      </c>
      <c r="B176" s="113">
        <v>2001</v>
      </c>
      <c r="C176" s="7"/>
      <c r="D176" s="740" t="s">
        <v>786</v>
      </c>
      <c r="E176" s="740">
        <v>120000</v>
      </c>
      <c r="F176" s="80"/>
      <c r="G176" s="740">
        <v>120000</v>
      </c>
      <c r="H176" s="80"/>
      <c r="I176" s="80">
        <f t="shared" si="16"/>
        <v>20295800</v>
      </c>
      <c r="J176" s="10"/>
      <c r="K176" s="10"/>
      <c r="L176" s="80">
        <f t="shared" si="15"/>
        <v>0</v>
      </c>
    </row>
    <row r="177" spans="1:12" ht="12.75" customHeight="1" x14ac:dyDescent="0.25">
      <c r="A177" s="81" t="s">
        <v>770</v>
      </c>
      <c r="B177" s="113">
        <v>2001</v>
      </c>
      <c r="C177" s="7"/>
      <c r="D177" s="741" t="s">
        <v>750</v>
      </c>
      <c r="E177" s="741">
        <v>240000</v>
      </c>
      <c r="F177" s="80"/>
      <c r="G177" s="741">
        <v>240000</v>
      </c>
      <c r="H177" s="80"/>
      <c r="I177" s="80">
        <f t="shared" si="16"/>
        <v>20535800</v>
      </c>
      <c r="J177" s="10"/>
      <c r="K177" s="10"/>
      <c r="L177" s="80">
        <f t="shared" si="15"/>
        <v>0</v>
      </c>
    </row>
    <row r="178" spans="1:12" ht="12.75" customHeight="1" x14ac:dyDescent="0.25">
      <c r="A178" s="81" t="s">
        <v>770</v>
      </c>
      <c r="B178" s="113">
        <v>2001</v>
      </c>
      <c r="C178" s="7"/>
      <c r="D178" s="742" t="s">
        <v>760</v>
      </c>
      <c r="E178" s="742">
        <v>120000</v>
      </c>
      <c r="F178" s="555"/>
      <c r="G178" s="742">
        <v>120000</v>
      </c>
      <c r="H178" s="555"/>
      <c r="I178" s="80">
        <f t="shared" si="16"/>
        <v>20655800</v>
      </c>
      <c r="J178" s="10"/>
      <c r="K178" s="10"/>
      <c r="L178" s="80">
        <f t="shared" si="15"/>
        <v>0</v>
      </c>
    </row>
    <row r="179" spans="1:12" ht="12.75" customHeight="1" x14ac:dyDescent="0.25">
      <c r="A179" s="81" t="s">
        <v>770</v>
      </c>
      <c r="B179" s="105">
        <v>5104</v>
      </c>
      <c r="C179" s="7"/>
      <c r="D179" s="743" t="s">
        <v>605</v>
      </c>
      <c r="E179" s="743"/>
      <c r="F179" s="743">
        <v>105000</v>
      </c>
      <c r="G179" s="555"/>
      <c r="H179" s="743">
        <v>105000</v>
      </c>
      <c r="I179" s="80">
        <f t="shared" si="16"/>
        <v>20550800</v>
      </c>
      <c r="J179" s="10"/>
      <c r="K179" s="10"/>
      <c r="L179" s="80">
        <f t="shared" si="15"/>
        <v>0</v>
      </c>
    </row>
    <row r="180" spans="1:12" ht="12.75" customHeight="1" x14ac:dyDescent="0.25">
      <c r="A180" s="81" t="s">
        <v>770</v>
      </c>
      <c r="B180" s="105">
        <v>5109</v>
      </c>
      <c r="C180" s="7"/>
      <c r="D180" s="743" t="s">
        <v>804</v>
      </c>
      <c r="E180" s="743"/>
      <c r="F180" s="743">
        <v>100000</v>
      </c>
      <c r="G180" s="555"/>
      <c r="H180" s="743">
        <v>100000</v>
      </c>
      <c r="I180" s="80">
        <f t="shared" si="16"/>
        <v>20450800</v>
      </c>
      <c r="J180" s="10"/>
      <c r="K180" s="10"/>
      <c r="L180" s="80">
        <f t="shared" si="15"/>
        <v>0</v>
      </c>
    </row>
    <row r="181" spans="1:12" ht="12.75" customHeight="1" x14ac:dyDescent="0.25">
      <c r="A181" s="81" t="s">
        <v>770</v>
      </c>
      <c r="B181" s="711">
        <v>5109</v>
      </c>
      <c r="C181" s="98"/>
      <c r="D181" s="743" t="s">
        <v>805</v>
      </c>
      <c r="E181" s="743"/>
      <c r="F181" s="743">
        <v>590000</v>
      </c>
      <c r="G181" s="80"/>
      <c r="H181" s="743">
        <v>590000</v>
      </c>
      <c r="I181" s="80">
        <f t="shared" si="16"/>
        <v>19860800</v>
      </c>
      <c r="J181" s="10"/>
      <c r="K181" s="10"/>
      <c r="L181" s="80">
        <f t="shared" si="15"/>
        <v>0</v>
      </c>
    </row>
    <row r="182" spans="1:12" ht="12.75" customHeight="1" x14ac:dyDescent="0.25">
      <c r="A182" s="86"/>
      <c r="B182" s="712"/>
      <c r="C182" s="87"/>
      <c r="D182" s="88" t="s">
        <v>63</v>
      </c>
      <c r="E182" s="89">
        <f>SUM(E166:E181)</f>
        <v>1600000</v>
      </c>
      <c r="F182" s="89">
        <f>SUM(F166:F181)</f>
        <v>795000</v>
      </c>
      <c r="G182" s="89">
        <f>SUM(G166:G181)</f>
        <v>1600000</v>
      </c>
      <c r="H182" s="89">
        <f>SUM(H166:H181)</f>
        <v>795000</v>
      </c>
      <c r="I182" s="90"/>
      <c r="J182" s="90">
        <f>SUM(J166:J181)</f>
        <v>0</v>
      </c>
      <c r="K182" s="90">
        <f>SUM(K166:K181)</f>
        <v>0</v>
      </c>
      <c r="L182" s="90"/>
    </row>
    <row r="183" spans="1:12" ht="12.75" customHeight="1" x14ac:dyDescent="0.25">
      <c r="A183" s="86"/>
      <c r="B183" s="712"/>
      <c r="C183" s="87"/>
      <c r="D183" s="88" t="s">
        <v>64</v>
      </c>
      <c r="E183" s="89">
        <f>E165+E182</f>
        <v>20655800</v>
      </c>
      <c r="F183" s="89">
        <f>F165+F182</f>
        <v>795000</v>
      </c>
      <c r="G183" s="89">
        <f>G165+G182</f>
        <v>20655800</v>
      </c>
      <c r="H183" s="89">
        <f>H165+H182</f>
        <v>795000</v>
      </c>
      <c r="I183" s="90"/>
      <c r="J183" s="90">
        <f>J165+J182</f>
        <v>0</v>
      </c>
      <c r="K183" s="90">
        <f>K165+K182</f>
        <v>0</v>
      </c>
      <c r="L183" s="90"/>
    </row>
    <row r="184" spans="1:12" ht="12.75" customHeight="1" x14ac:dyDescent="0.25">
      <c r="A184" s="86"/>
      <c r="B184" s="712"/>
      <c r="C184" s="87"/>
      <c r="D184" s="88" t="s">
        <v>65</v>
      </c>
      <c r="E184" s="89">
        <f>E183-F183</f>
        <v>19860800</v>
      </c>
      <c r="F184" s="86"/>
      <c r="G184" s="89">
        <f>G183-H183</f>
        <v>19860800</v>
      </c>
      <c r="H184" s="86"/>
      <c r="I184" s="86"/>
      <c r="J184" s="90">
        <f>J183-K183</f>
        <v>0</v>
      </c>
      <c r="K184" s="86"/>
      <c r="L184" s="86"/>
    </row>
    <row r="185" spans="1:12" ht="12.75" customHeight="1" x14ac:dyDescent="0.25"/>
    <row r="186" spans="1:12" ht="12.75" customHeight="1" x14ac:dyDescent="0.25">
      <c r="A186" s="886" t="s">
        <v>19</v>
      </c>
      <c r="B186" s="886" t="s">
        <v>9</v>
      </c>
      <c r="C186" s="327" t="s">
        <v>197</v>
      </c>
      <c r="D186" s="899" t="s">
        <v>20</v>
      </c>
      <c r="E186" s="903" t="s">
        <v>357</v>
      </c>
      <c r="F186" s="904"/>
      <c r="G186" s="886" t="s">
        <v>0</v>
      </c>
      <c r="H186" s="886"/>
      <c r="I186" s="886"/>
      <c r="J186" s="886" t="s">
        <v>1</v>
      </c>
      <c r="K186" s="886"/>
      <c r="L186" s="886"/>
    </row>
    <row r="187" spans="1:12" ht="12.75" customHeight="1" x14ac:dyDescent="0.25">
      <c r="A187" s="887"/>
      <c r="B187" s="887"/>
      <c r="C187" s="328"/>
      <c r="D187" s="900"/>
      <c r="E187" s="75" t="s">
        <v>11</v>
      </c>
      <c r="F187" s="76" t="s">
        <v>12</v>
      </c>
      <c r="G187" s="326" t="s">
        <v>11</v>
      </c>
      <c r="H187" s="326" t="s">
        <v>12</v>
      </c>
      <c r="I187" s="326" t="s">
        <v>21</v>
      </c>
      <c r="J187" s="326" t="s">
        <v>11</v>
      </c>
      <c r="K187" s="326" t="s">
        <v>12</v>
      </c>
      <c r="L187" s="326" t="s">
        <v>21</v>
      </c>
    </row>
    <row r="188" spans="1:12" ht="12.75" customHeight="1" x14ac:dyDescent="0.25">
      <c r="A188" s="77">
        <v>45666</v>
      </c>
      <c r="B188" s="113"/>
      <c r="C188" s="7"/>
      <c r="D188" s="79" t="s">
        <v>418</v>
      </c>
      <c r="E188" s="11">
        <f>E184</f>
        <v>19860800</v>
      </c>
      <c r="F188" s="80"/>
      <c r="G188" s="11">
        <f>G184</f>
        <v>19860800</v>
      </c>
      <c r="H188" s="80"/>
      <c r="I188" s="80">
        <f>G188-H188</f>
        <v>19860800</v>
      </c>
      <c r="J188" s="496">
        <v>0</v>
      </c>
      <c r="K188" s="10"/>
      <c r="L188" s="80">
        <f>J188-K188</f>
        <v>0</v>
      </c>
    </row>
    <row r="189" spans="1:12" ht="12.75" customHeight="1" x14ac:dyDescent="0.25">
      <c r="A189" s="81" t="s">
        <v>771</v>
      </c>
      <c r="B189" s="113">
        <v>2001</v>
      </c>
      <c r="C189" s="7"/>
      <c r="D189" s="744" t="s">
        <v>797</v>
      </c>
      <c r="E189" s="744">
        <v>120000</v>
      </c>
      <c r="F189" s="82"/>
      <c r="G189" s="744">
        <v>120000</v>
      </c>
      <c r="H189" s="80"/>
      <c r="I189" s="80">
        <f>I188+G189-H189</f>
        <v>19980800</v>
      </c>
      <c r="J189" s="10"/>
      <c r="K189" s="83"/>
      <c r="L189" s="80">
        <f t="shared" ref="L189:L202" si="17">L188+J189-K189</f>
        <v>0</v>
      </c>
    </row>
    <row r="190" spans="1:12" ht="12.75" customHeight="1" x14ac:dyDescent="0.25">
      <c r="A190" s="81" t="s">
        <v>771</v>
      </c>
      <c r="B190" s="113">
        <v>2001</v>
      </c>
      <c r="C190" s="7"/>
      <c r="D190" s="744" t="s">
        <v>776</v>
      </c>
      <c r="E190" s="744">
        <v>120000</v>
      </c>
      <c r="F190" s="80"/>
      <c r="G190" s="744">
        <v>120000</v>
      </c>
      <c r="H190" s="80"/>
      <c r="I190" s="80">
        <f t="shared" ref="I190:I202" si="18">I189+G190-H190</f>
        <v>20100800</v>
      </c>
      <c r="J190" s="10"/>
      <c r="K190" s="10"/>
      <c r="L190" s="80">
        <f t="shared" si="17"/>
        <v>0</v>
      </c>
    </row>
    <row r="191" spans="1:12" ht="12.75" customHeight="1" x14ac:dyDescent="0.25">
      <c r="A191" s="81" t="s">
        <v>771</v>
      </c>
      <c r="B191" s="113">
        <v>2001</v>
      </c>
      <c r="C191" s="7"/>
      <c r="D191" s="744" t="s">
        <v>778</v>
      </c>
      <c r="E191" s="744">
        <v>120000</v>
      </c>
      <c r="F191" s="80"/>
      <c r="G191" s="744">
        <v>120000</v>
      </c>
      <c r="H191" s="80"/>
      <c r="I191" s="80">
        <f t="shared" si="18"/>
        <v>20220800</v>
      </c>
      <c r="J191" s="10"/>
      <c r="K191" s="10"/>
      <c r="L191" s="80">
        <f t="shared" si="17"/>
        <v>0</v>
      </c>
    </row>
    <row r="192" spans="1:12" ht="12.75" customHeight="1" x14ac:dyDescent="0.25">
      <c r="A192" s="81" t="s">
        <v>771</v>
      </c>
      <c r="B192" s="113">
        <v>2001</v>
      </c>
      <c r="C192" s="7"/>
      <c r="D192" s="744" t="s">
        <v>806</v>
      </c>
      <c r="E192" s="744">
        <v>120000</v>
      </c>
      <c r="F192" s="80"/>
      <c r="G192" s="744">
        <v>120000</v>
      </c>
      <c r="H192" s="80"/>
      <c r="I192" s="80">
        <f t="shared" si="18"/>
        <v>20340800</v>
      </c>
      <c r="J192" s="10"/>
      <c r="K192" s="10"/>
      <c r="L192" s="80">
        <f t="shared" si="17"/>
        <v>0</v>
      </c>
    </row>
    <row r="193" spans="1:12" ht="12.75" customHeight="1" x14ac:dyDescent="0.25">
      <c r="A193" s="81" t="s">
        <v>771</v>
      </c>
      <c r="B193" s="113">
        <v>2001</v>
      </c>
      <c r="C193" s="7"/>
      <c r="D193" s="744" t="s">
        <v>602</v>
      </c>
      <c r="E193" s="744">
        <v>120000</v>
      </c>
      <c r="F193" s="80"/>
      <c r="G193" s="744">
        <v>120000</v>
      </c>
      <c r="H193" s="80"/>
      <c r="I193" s="80">
        <f t="shared" si="18"/>
        <v>20460800</v>
      </c>
      <c r="J193" s="11"/>
      <c r="K193" s="10"/>
      <c r="L193" s="80">
        <f t="shared" si="17"/>
        <v>0</v>
      </c>
    </row>
    <row r="194" spans="1:12" ht="12.75" customHeight="1" x14ac:dyDescent="0.25">
      <c r="A194" s="81" t="s">
        <v>771</v>
      </c>
      <c r="B194" s="113">
        <v>2001</v>
      </c>
      <c r="C194" s="7"/>
      <c r="D194" s="744" t="s">
        <v>606</v>
      </c>
      <c r="E194" s="744">
        <v>120000</v>
      </c>
      <c r="F194" s="80"/>
      <c r="G194" s="744">
        <v>120000</v>
      </c>
      <c r="H194" s="80"/>
      <c r="I194" s="80">
        <f t="shared" si="18"/>
        <v>20580800</v>
      </c>
      <c r="J194" s="10"/>
      <c r="K194" s="10"/>
      <c r="L194" s="80">
        <f t="shared" si="17"/>
        <v>0</v>
      </c>
    </row>
    <row r="195" spans="1:12" ht="12.75" customHeight="1" x14ac:dyDescent="0.25">
      <c r="A195" s="81" t="s">
        <v>771</v>
      </c>
      <c r="B195" s="113">
        <v>2001</v>
      </c>
      <c r="C195" s="7"/>
      <c r="D195" s="744" t="s">
        <v>598</v>
      </c>
      <c r="E195" s="744">
        <v>120000</v>
      </c>
      <c r="F195" s="80"/>
      <c r="G195" s="744">
        <v>120000</v>
      </c>
      <c r="H195" s="80"/>
      <c r="I195" s="80">
        <f t="shared" si="18"/>
        <v>20700800</v>
      </c>
      <c r="J195" s="10"/>
      <c r="K195" s="10"/>
      <c r="L195" s="80">
        <f t="shared" si="17"/>
        <v>0</v>
      </c>
    </row>
    <row r="196" spans="1:12" ht="12.75" customHeight="1" x14ac:dyDescent="0.25">
      <c r="A196" s="81" t="s">
        <v>771</v>
      </c>
      <c r="B196" s="113">
        <v>2002</v>
      </c>
      <c r="C196" s="7"/>
      <c r="D196" s="744" t="s">
        <v>600</v>
      </c>
      <c r="E196" s="744">
        <v>120000</v>
      </c>
      <c r="F196" s="80"/>
      <c r="G196" s="744">
        <v>120000</v>
      </c>
      <c r="H196" s="80"/>
      <c r="I196" s="80">
        <f t="shared" si="18"/>
        <v>20820800</v>
      </c>
      <c r="J196" s="10"/>
      <c r="K196" s="10"/>
      <c r="L196" s="80">
        <f t="shared" si="17"/>
        <v>0</v>
      </c>
    </row>
    <row r="197" spans="1:12" ht="12.75" customHeight="1" x14ac:dyDescent="0.25">
      <c r="A197" s="81" t="s">
        <v>771</v>
      </c>
      <c r="B197" s="113">
        <v>2001</v>
      </c>
      <c r="C197" s="7"/>
      <c r="D197" s="744" t="s">
        <v>693</v>
      </c>
      <c r="E197" s="744">
        <v>120000</v>
      </c>
      <c r="F197" s="80"/>
      <c r="G197" s="744">
        <v>120000</v>
      </c>
      <c r="H197" s="80"/>
      <c r="I197" s="80">
        <f t="shared" si="18"/>
        <v>20940800</v>
      </c>
      <c r="J197" s="10"/>
      <c r="K197" s="10"/>
      <c r="L197" s="80">
        <f t="shared" si="17"/>
        <v>0</v>
      </c>
    </row>
    <row r="198" spans="1:12" ht="12.75" customHeight="1" x14ac:dyDescent="0.25">
      <c r="A198" s="81" t="s">
        <v>771</v>
      </c>
      <c r="B198" s="113">
        <v>2002</v>
      </c>
      <c r="C198" s="7"/>
      <c r="D198" s="744" t="s">
        <v>750</v>
      </c>
      <c r="E198" s="744">
        <v>240000</v>
      </c>
      <c r="F198" s="80"/>
      <c r="G198" s="744">
        <v>240000</v>
      </c>
      <c r="H198" s="80"/>
      <c r="I198" s="80">
        <f t="shared" si="18"/>
        <v>21180800</v>
      </c>
      <c r="J198" s="10"/>
      <c r="K198" s="10"/>
      <c r="L198" s="80">
        <f t="shared" si="17"/>
        <v>0</v>
      </c>
    </row>
    <row r="199" spans="1:12" ht="12.75" customHeight="1" x14ac:dyDescent="0.25">
      <c r="A199" s="81" t="s">
        <v>771</v>
      </c>
      <c r="B199" s="113">
        <v>2001</v>
      </c>
      <c r="C199" s="7"/>
      <c r="D199" s="744" t="s">
        <v>807</v>
      </c>
      <c r="E199" s="744">
        <v>120000</v>
      </c>
      <c r="F199" s="80"/>
      <c r="G199" s="744">
        <v>120000</v>
      </c>
      <c r="H199" s="80"/>
      <c r="I199" s="80">
        <f t="shared" si="18"/>
        <v>21300800</v>
      </c>
      <c r="J199" s="10"/>
      <c r="K199" s="10"/>
      <c r="L199" s="80">
        <f t="shared" si="17"/>
        <v>0</v>
      </c>
    </row>
    <row r="200" spans="1:12" ht="12.75" customHeight="1" x14ac:dyDescent="0.25">
      <c r="A200" s="81" t="s">
        <v>771</v>
      </c>
      <c r="B200" s="105">
        <v>5104</v>
      </c>
      <c r="C200" s="7"/>
      <c r="D200" s="745" t="s">
        <v>605</v>
      </c>
      <c r="E200" s="745"/>
      <c r="F200" s="745">
        <v>105000</v>
      </c>
      <c r="G200" s="555"/>
      <c r="H200" s="745">
        <v>105000</v>
      </c>
      <c r="I200" s="80">
        <f t="shared" si="18"/>
        <v>21195800</v>
      </c>
      <c r="J200" s="10"/>
      <c r="K200" s="10"/>
      <c r="L200" s="80">
        <f t="shared" si="17"/>
        <v>0</v>
      </c>
    </row>
    <row r="201" spans="1:12" ht="12.75" customHeight="1" x14ac:dyDescent="0.25">
      <c r="A201" s="81" t="s">
        <v>771</v>
      </c>
      <c r="B201" s="105">
        <v>5105</v>
      </c>
      <c r="C201" s="7"/>
      <c r="D201" s="745" t="s">
        <v>808</v>
      </c>
      <c r="E201" s="745"/>
      <c r="F201" s="745">
        <v>150000</v>
      </c>
      <c r="G201" s="555"/>
      <c r="H201" s="745">
        <v>150000</v>
      </c>
      <c r="I201" s="80">
        <f t="shared" si="18"/>
        <v>21045800</v>
      </c>
      <c r="J201" s="10"/>
      <c r="K201" s="10"/>
      <c r="L201" s="80">
        <f t="shared" si="17"/>
        <v>0</v>
      </c>
    </row>
    <row r="202" spans="1:12" ht="12.75" customHeight="1" x14ac:dyDescent="0.25">
      <c r="A202" s="81" t="s">
        <v>771</v>
      </c>
      <c r="B202" s="105">
        <v>5109</v>
      </c>
      <c r="C202" s="7"/>
      <c r="D202" s="745" t="s">
        <v>809</v>
      </c>
      <c r="E202" s="745"/>
      <c r="F202" s="745">
        <v>50000</v>
      </c>
      <c r="G202" s="80"/>
      <c r="H202" s="745">
        <v>50000</v>
      </c>
      <c r="I202" s="80">
        <f t="shared" si="18"/>
        <v>20995800</v>
      </c>
      <c r="J202" s="10"/>
      <c r="K202" s="10"/>
      <c r="L202" s="80">
        <f t="shared" si="17"/>
        <v>0</v>
      </c>
    </row>
    <row r="203" spans="1:12" ht="12.75" customHeight="1" x14ac:dyDescent="0.25">
      <c r="A203" s="86"/>
      <c r="B203" s="712"/>
      <c r="C203" s="87"/>
      <c r="D203" s="88" t="s">
        <v>63</v>
      </c>
      <c r="E203" s="89">
        <f>SUM(E189:E202)</f>
        <v>1440000</v>
      </c>
      <c r="F203" s="89">
        <f>SUM(F189:F202)</f>
        <v>305000</v>
      </c>
      <c r="G203" s="89">
        <f>SUM(G189:G202)</f>
        <v>1440000</v>
      </c>
      <c r="H203" s="89">
        <f>SUM(H189:H202)</f>
        <v>305000</v>
      </c>
      <c r="I203" s="90"/>
      <c r="J203" s="90">
        <f>SUM(J189:J202)</f>
        <v>0</v>
      </c>
      <c r="K203" s="90">
        <f>SUM(K189:K202)</f>
        <v>0</v>
      </c>
      <c r="L203" s="90"/>
    </row>
    <row r="204" spans="1:12" ht="12.75" customHeight="1" x14ac:dyDescent="0.25">
      <c r="A204" s="86"/>
      <c r="B204" s="712"/>
      <c r="C204" s="87"/>
      <c r="D204" s="88" t="s">
        <v>64</v>
      </c>
      <c r="E204" s="89">
        <f>E188+E203</f>
        <v>21300800</v>
      </c>
      <c r="F204" s="89">
        <f>F188+F203</f>
        <v>305000</v>
      </c>
      <c r="G204" s="89">
        <f>G188+G203</f>
        <v>21300800</v>
      </c>
      <c r="H204" s="89">
        <f>H188+H203</f>
        <v>305000</v>
      </c>
      <c r="I204" s="90"/>
      <c r="J204" s="90">
        <f>J188+J203</f>
        <v>0</v>
      </c>
      <c r="K204" s="90">
        <f>K188+K203</f>
        <v>0</v>
      </c>
      <c r="L204" s="90"/>
    </row>
    <row r="205" spans="1:12" ht="12.75" customHeight="1" x14ac:dyDescent="0.25">
      <c r="A205" s="86"/>
      <c r="B205" s="712"/>
      <c r="C205" s="87"/>
      <c r="D205" s="88" t="s">
        <v>65</v>
      </c>
      <c r="E205" s="89">
        <f>E204-F204</f>
        <v>20995800</v>
      </c>
      <c r="F205" s="86"/>
      <c r="G205" s="89">
        <f>G204-H204</f>
        <v>20995800</v>
      </c>
      <c r="H205" s="86"/>
      <c r="I205" s="86"/>
      <c r="J205" s="90">
        <f>J204-K204</f>
        <v>0</v>
      </c>
      <c r="K205" s="86"/>
      <c r="L205" s="86"/>
    </row>
    <row r="206" spans="1:12" ht="12.75" customHeight="1" x14ac:dyDescent="0.25"/>
    <row r="207" spans="1:12" ht="12.75" customHeight="1" x14ac:dyDescent="0.25">
      <c r="A207" s="886" t="s">
        <v>19</v>
      </c>
      <c r="B207" s="886" t="s">
        <v>9</v>
      </c>
      <c r="C207" s="327" t="s">
        <v>197</v>
      </c>
      <c r="D207" s="899" t="s">
        <v>20</v>
      </c>
      <c r="E207" s="903" t="s">
        <v>357</v>
      </c>
      <c r="F207" s="904"/>
      <c r="G207" s="886" t="s">
        <v>0</v>
      </c>
      <c r="H207" s="886"/>
      <c r="I207" s="886"/>
      <c r="J207" s="886" t="s">
        <v>1</v>
      </c>
      <c r="K207" s="886"/>
      <c r="L207" s="886"/>
    </row>
    <row r="208" spans="1:12" ht="12.75" customHeight="1" x14ac:dyDescent="0.25">
      <c r="A208" s="887"/>
      <c r="B208" s="887"/>
      <c r="C208" s="328"/>
      <c r="D208" s="900"/>
      <c r="E208" s="75" t="s">
        <v>11</v>
      </c>
      <c r="F208" s="76" t="s">
        <v>12</v>
      </c>
      <c r="G208" s="326" t="s">
        <v>11</v>
      </c>
      <c r="H208" s="326" t="s">
        <v>12</v>
      </c>
      <c r="I208" s="326" t="s">
        <v>21</v>
      </c>
      <c r="J208" s="326" t="s">
        <v>11</v>
      </c>
      <c r="K208" s="326" t="s">
        <v>12</v>
      </c>
      <c r="L208" s="326" t="s">
        <v>21</v>
      </c>
    </row>
    <row r="209" spans="1:12" ht="12.75" customHeight="1" x14ac:dyDescent="0.25">
      <c r="A209" s="77">
        <v>45667</v>
      </c>
      <c r="B209" s="113"/>
      <c r="C209" s="7"/>
      <c r="D209" s="79" t="s">
        <v>421</v>
      </c>
      <c r="E209" s="11">
        <f>E205</f>
        <v>20995800</v>
      </c>
      <c r="F209" s="80"/>
      <c r="G209" s="11">
        <f>G205</f>
        <v>20995800</v>
      </c>
      <c r="H209" s="80"/>
      <c r="I209" s="80">
        <f>G209-H209</f>
        <v>20995800</v>
      </c>
      <c r="J209" s="15">
        <v>0</v>
      </c>
      <c r="K209" s="10"/>
      <c r="L209" s="80">
        <f>J209-K209</f>
        <v>0</v>
      </c>
    </row>
    <row r="210" spans="1:12" ht="12.75" customHeight="1" x14ac:dyDescent="0.25">
      <c r="A210" s="81" t="s">
        <v>772</v>
      </c>
      <c r="B210" s="113">
        <v>2001</v>
      </c>
      <c r="C210" s="7"/>
      <c r="D210" s="746" t="s">
        <v>783</v>
      </c>
      <c r="E210" s="746">
        <v>120000</v>
      </c>
      <c r="F210" s="82"/>
      <c r="G210" s="746">
        <v>120000</v>
      </c>
      <c r="H210" s="80"/>
      <c r="I210" s="80">
        <f>I209+G210-H210</f>
        <v>21115800</v>
      </c>
      <c r="J210" s="10"/>
      <c r="K210" s="83"/>
      <c r="L210" s="80">
        <f t="shared" ref="L210:L224" si="19">L209+J210-K210</f>
        <v>0</v>
      </c>
    </row>
    <row r="211" spans="1:12" ht="12.75" customHeight="1" x14ac:dyDescent="0.25">
      <c r="A211" s="81" t="s">
        <v>772</v>
      </c>
      <c r="B211" s="113">
        <v>2001</v>
      </c>
      <c r="C211" s="7"/>
      <c r="D211" s="746" t="s">
        <v>601</v>
      </c>
      <c r="E211" s="746">
        <v>240000</v>
      </c>
      <c r="F211" s="80"/>
      <c r="G211" s="746">
        <v>240000</v>
      </c>
      <c r="H211" s="80"/>
      <c r="I211" s="80">
        <f t="shared" ref="I211:I224" si="20">I210+G211-H211</f>
        <v>21355800</v>
      </c>
      <c r="J211" s="10"/>
      <c r="K211" s="10"/>
      <c r="L211" s="80">
        <f t="shared" si="19"/>
        <v>0</v>
      </c>
    </row>
    <row r="212" spans="1:12" ht="12.75" customHeight="1" x14ac:dyDescent="0.25">
      <c r="A212" s="81" t="s">
        <v>772</v>
      </c>
      <c r="B212" s="113">
        <v>2001</v>
      </c>
      <c r="C212" s="7"/>
      <c r="D212" s="746" t="s">
        <v>606</v>
      </c>
      <c r="E212" s="746">
        <v>120000</v>
      </c>
      <c r="F212" s="80"/>
      <c r="G212" s="746">
        <v>120000</v>
      </c>
      <c r="H212" s="80"/>
      <c r="I212" s="80">
        <f t="shared" si="20"/>
        <v>21475800</v>
      </c>
      <c r="J212" s="10"/>
      <c r="K212" s="10"/>
      <c r="L212" s="80">
        <f t="shared" si="19"/>
        <v>0</v>
      </c>
    </row>
    <row r="213" spans="1:12" ht="12.75" customHeight="1" x14ac:dyDescent="0.25">
      <c r="A213" s="81" t="s">
        <v>772</v>
      </c>
      <c r="B213" s="113">
        <v>2001</v>
      </c>
      <c r="C213" s="7"/>
      <c r="D213" s="746" t="s">
        <v>810</v>
      </c>
      <c r="E213" s="746">
        <v>120000</v>
      </c>
      <c r="F213" s="80"/>
      <c r="G213" s="746">
        <v>120000</v>
      </c>
      <c r="H213" s="80"/>
      <c r="I213" s="80">
        <f t="shared" si="20"/>
        <v>21595800</v>
      </c>
      <c r="J213" s="10"/>
      <c r="K213" s="10"/>
      <c r="L213" s="80">
        <f t="shared" si="19"/>
        <v>0</v>
      </c>
    </row>
    <row r="214" spans="1:12" ht="12.75" customHeight="1" x14ac:dyDescent="0.25">
      <c r="A214" s="81" t="s">
        <v>772</v>
      </c>
      <c r="B214" s="113">
        <v>2001</v>
      </c>
      <c r="C214" s="7"/>
      <c r="D214" s="746" t="s">
        <v>778</v>
      </c>
      <c r="E214" s="746">
        <v>120000</v>
      </c>
      <c r="F214" s="80"/>
      <c r="G214" s="746">
        <v>120000</v>
      </c>
      <c r="H214" s="80"/>
      <c r="I214" s="80">
        <f t="shared" si="20"/>
        <v>21715800</v>
      </c>
      <c r="J214" s="10"/>
      <c r="K214" s="10"/>
      <c r="L214" s="80">
        <f t="shared" si="19"/>
        <v>0</v>
      </c>
    </row>
    <row r="215" spans="1:12" ht="12.75" customHeight="1" x14ac:dyDescent="0.25">
      <c r="A215" s="81" t="s">
        <v>772</v>
      </c>
      <c r="B215" s="113">
        <v>2001</v>
      </c>
      <c r="C215" s="7"/>
      <c r="D215" s="746" t="s">
        <v>598</v>
      </c>
      <c r="E215" s="746">
        <v>120000</v>
      </c>
      <c r="F215" s="80"/>
      <c r="G215" s="746">
        <v>120000</v>
      </c>
      <c r="H215" s="80"/>
      <c r="I215" s="80">
        <f t="shared" si="20"/>
        <v>21835800</v>
      </c>
      <c r="J215" s="10"/>
      <c r="K215" s="10"/>
      <c r="L215" s="80">
        <f t="shared" si="19"/>
        <v>0</v>
      </c>
    </row>
    <row r="216" spans="1:12" ht="12.75" customHeight="1" x14ac:dyDescent="0.25">
      <c r="A216" s="81" t="s">
        <v>772</v>
      </c>
      <c r="B216" s="113">
        <v>2001</v>
      </c>
      <c r="C216" s="7"/>
      <c r="D216" s="746" t="s">
        <v>693</v>
      </c>
      <c r="E216" s="746">
        <v>120000</v>
      </c>
      <c r="F216" s="80"/>
      <c r="G216" s="746">
        <v>120000</v>
      </c>
      <c r="H216" s="80"/>
      <c r="I216" s="80">
        <f t="shared" si="20"/>
        <v>21955800</v>
      </c>
      <c r="J216" s="10"/>
      <c r="K216" s="10"/>
      <c r="L216" s="80">
        <f t="shared" si="19"/>
        <v>0</v>
      </c>
    </row>
    <row r="217" spans="1:12" ht="12.75" customHeight="1" x14ac:dyDescent="0.25">
      <c r="A217" s="81" t="s">
        <v>772</v>
      </c>
      <c r="B217" s="113">
        <v>2001</v>
      </c>
      <c r="C217" s="7"/>
      <c r="D217" s="746" t="s">
        <v>600</v>
      </c>
      <c r="E217" s="746">
        <v>120000</v>
      </c>
      <c r="F217" s="80"/>
      <c r="G217" s="746">
        <v>120000</v>
      </c>
      <c r="H217" s="80"/>
      <c r="I217" s="80">
        <f t="shared" si="20"/>
        <v>22075800</v>
      </c>
      <c r="J217" s="10"/>
      <c r="K217" s="10"/>
      <c r="L217" s="80">
        <f t="shared" si="19"/>
        <v>0</v>
      </c>
    </row>
    <row r="218" spans="1:12" ht="12.75" customHeight="1" x14ac:dyDescent="0.25">
      <c r="A218" s="81" t="s">
        <v>772</v>
      </c>
      <c r="B218" s="113">
        <v>2001</v>
      </c>
      <c r="C218" s="7"/>
      <c r="D218" s="746" t="s">
        <v>604</v>
      </c>
      <c r="E218" s="746">
        <v>120000</v>
      </c>
      <c r="F218" s="80"/>
      <c r="G218" s="746">
        <v>120000</v>
      </c>
      <c r="H218" s="80"/>
      <c r="I218" s="80">
        <f t="shared" si="20"/>
        <v>22195800</v>
      </c>
      <c r="J218" s="10"/>
      <c r="K218" s="10"/>
      <c r="L218" s="80">
        <f t="shared" si="19"/>
        <v>0</v>
      </c>
    </row>
    <row r="219" spans="1:12" ht="12.75" customHeight="1" x14ac:dyDescent="0.25">
      <c r="A219" s="81" t="s">
        <v>772</v>
      </c>
      <c r="B219" s="113">
        <v>2001</v>
      </c>
      <c r="C219" s="7"/>
      <c r="D219" s="747" t="s">
        <v>750</v>
      </c>
      <c r="E219" s="746">
        <v>240000</v>
      </c>
      <c r="F219" s="80"/>
      <c r="G219" s="746">
        <v>240000</v>
      </c>
      <c r="H219" s="80"/>
      <c r="I219" s="80">
        <f t="shared" si="20"/>
        <v>22435800</v>
      </c>
      <c r="J219" s="10"/>
      <c r="K219" s="10"/>
      <c r="L219" s="80">
        <f t="shared" si="19"/>
        <v>0</v>
      </c>
    </row>
    <row r="220" spans="1:12" ht="12.75" customHeight="1" x14ac:dyDescent="0.25">
      <c r="A220" s="81" t="s">
        <v>772</v>
      </c>
      <c r="B220" s="113">
        <v>2001</v>
      </c>
      <c r="C220" s="7"/>
      <c r="D220" s="748" t="s">
        <v>801</v>
      </c>
      <c r="E220" s="746">
        <v>120000</v>
      </c>
      <c r="F220" s="555"/>
      <c r="G220" s="746">
        <v>120000</v>
      </c>
      <c r="H220" s="555"/>
      <c r="I220" s="80">
        <f t="shared" si="20"/>
        <v>22555800</v>
      </c>
      <c r="J220" s="10"/>
      <c r="K220" s="10"/>
      <c r="L220" s="80">
        <f t="shared" si="19"/>
        <v>0</v>
      </c>
    </row>
    <row r="221" spans="1:12" ht="12.75" customHeight="1" x14ac:dyDescent="0.25">
      <c r="A221" s="81" t="s">
        <v>772</v>
      </c>
      <c r="B221" s="113">
        <v>2001</v>
      </c>
      <c r="C221" s="7"/>
      <c r="D221" s="748" t="s">
        <v>811</v>
      </c>
      <c r="E221" s="746">
        <v>80000</v>
      </c>
      <c r="F221" s="597"/>
      <c r="G221" s="746">
        <v>80000</v>
      </c>
      <c r="H221" s="597"/>
      <c r="I221" s="80">
        <f t="shared" si="20"/>
        <v>22635800</v>
      </c>
      <c r="J221" s="10"/>
      <c r="K221" s="10"/>
      <c r="L221" s="80">
        <f t="shared" si="19"/>
        <v>0</v>
      </c>
    </row>
    <row r="222" spans="1:12" ht="12.75" customHeight="1" x14ac:dyDescent="0.25">
      <c r="A222" s="81" t="s">
        <v>772</v>
      </c>
      <c r="B222" s="113">
        <v>2001</v>
      </c>
      <c r="C222" s="7"/>
      <c r="D222" s="748" t="s">
        <v>806</v>
      </c>
      <c r="E222" s="746">
        <v>120000</v>
      </c>
      <c r="F222" s="597"/>
      <c r="G222" s="746">
        <v>120000</v>
      </c>
      <c r="H222" s="597"/>
      <c r="I222" s="80">
        <f t="shared" si="20"/>
        <v>22755800</v>
      </c>
      <c r="J222" s="10"/>
      <c r="K222" s="10"/>
      <c r="L222" s="80">
        <f t="shared" si="19"/>
        <v>0</v>
      </c>
    </row>
    <row r="223" spans="1:12" ht="12.75" customHeight="1" x14ac:dyDescent="0.25">
      <c r="A223" s="81" t="s">
        <v>772</v>
      </c>
      <c r="B223" s="113">
        <v>2002</v>
      </c>
      <c r="C223" s="7"/>
      <c r="D223" s="748" t="s">
        <v>812</v>
      </c>
      <c r="E223" s="746">
        <v>400000</v>
      </c>
      <c r="F223" s="597"/>
      <c r="G223" s="746">
        <v>400000</v>
      </c>
      <c r="H223" s="597"/>
      <c r="I223" s="80">
        <f t="shared" si="20"/>
        <v>23155800</v>
      </c>
      <c r="J223" s="10"/>
      <c r="K223" s="10"/>
      <c r="L223" s="80">
        <f t="shared" si="19"/>
        <v>0</v>
      </c>
    </row>
    <row r="224" spans="1:12" ht="12.75" customHeight="1" x14ac:dyDescent="0.25">
      <c r="A224" s="81" t="s">
        <v>772</v>
      </c>
      <c r="B224" s="711">
        <v>5104</v>
      </c>
      <c r="C224" s="7"/>
      <c r="D224" s="749" t="s">
        <v>605</v>
      </c>
      <c r="E224" s="749"/>
      <c r="F224" s="749">
        <v>160000</v>
      </c>
      <c r="G224" s="80"/>
      <c r="H224" s="749">
        <v>160000</v>
      </c>
      <c r="I224" s="80">
        <f t="shared" si="20"/>
        <v>22995800</v>
      </c>
      <c r="J224" s="10"/>
      <c r="K224" s="10"/>
      <c r="L224" s="80">
        <f t="shared" si="19"/>
        <v>0</v>
      </c>
    </row>
    <row r="225" spans="1:12" ht="12.75" customHeight="1" x14ac:dyDescent="0.25">
      <c r="A225" s="86"/>
      <c r="B225" s="712"/>
      <c r="C225" s="87"/>
      <c r="D225" s="88" t="s">
        <v>63</v>
      </c>
      <c r="E225" s="89">
        <f>SUM(E210:E224)</f>
        <v>2160000</v>
      </c>
      <c r="F225" s="89">
        <f>SUM(F210:F224)</f>
        <v>160000</v>
      </c>
      <c r="G225" s="89">
        <f>SUM(G210:G224)</f>
        <v>2160000</v>
      </c>
      <c r="H225" s="89">
        <f>SUM(H210:H224)</f>
        <v>160000</v>
      </c>
      <c r="I225" s="90"/>
      <c r="J225" s="90">
        <f>SUM(J210:J224)</f>
        <v>0</v>
      </c>
      <c r="K225" s="90">
        <f>SUM(K210:K224)</f>
        <v>0</v>
      </c>
      <c r="L225" s="90"/>
    </row>
    <row r="226" spans="1:12" ht="12.75" customHeight="1" x14ac:dyDescent="0.25">
      <c r="A226" s="86"/>
      <c r="B226" s="712"/>
      <c r="C226" s="87"/>
      <c r="D226" s="88" t="s">
        <v>64</v>
      </c>
      <c r="E226" s="89">
        <f>E209+E225</f>
        <v>23155800</v>
      </c>
      <c r="F226" s="89">
        <f>F209+F225</f>
        <v>160000</v>
      </c>
      <c r="G226" s="89">
        <f>G209+G225</f>
        <v>23155800</v>
      </c>
      <c r="H226" s="89">
        <f>H209+H225</f>
        <v>160000</v>
      </c>
      <c r="I226" s="90"/>
      <c r="J226" s="90">
        <f>J209+J225</f>
        <v>0</v>
      </c>
      <c r="K226" s="90">
        <f>K209+K225</f>
        <v>0</v>
      </c>
      <c r="L226" s="90"/>
    </row>
    <row r="227" spans="1:12" ht="12.75" customHeight="1" x14ac:dyDescent="0.25">
      <c r="A227" s="86"/>
      <c r="B227" s="712"/>
      <c r="C227" s="87"/>
      <c r="D227" s="88" t="s">
        <v>65</v>
      </c>
      <c r="E227" s="89">
        <f>E226-F226</f>
        <v>22995800</v>
      </c>
      <c r="F227" s="86"/>
      <c r="G227" s="89">
        <f>G226-H226</f>
        <v>22995800</v>
      </c>
      <c r="H227" s="86"/>
      <c r="I227" s="86"/>
      <c r="J227" s="90">
        <f>J226-K226</f>
        <v>0</v>
      </c>
      <c r="K227" s="86"/>
      <c r="L227" s="86"/>
    </row>
    <row r="228" spans="1:12" ht="12.75" customHeight="1" x14ac:dyDescent="0.25"/>
    <row r="229" spans="1:12" ht="12.75" customHeight="1" x14ac:dyDescent="0.25">
      <c r="A229" s="886" t="s">
        <v>19</v>
      </c>
      <c r="B229" s="886" t="s">
        <v>9</v>
      </c>
      <c r="C229" s="327" t="s">
        <v>197</v>
      </c>
      <c r="D229" s="899" t="s">
        <v>20</v>
      </c>
      <c r="E229" s="903" t="s">
        <v>357</v>
      </c>
      <c r="F229" s="904"/>
      <c r="G229" s="886" t="s">
        <v>0</v>
      </c>
      <c r="H229" s="886"/>
      <c r="I229" s="886"/>
      <c r="J229" s="886" t="s">
        <v>1</v>
      </c>
      <c r="K229" s="886"/>
      <c r="L229" s="886"/>
    </row>
    <row r="230" spans="1:12" ht="12.75" customHeight="1" x14ac:dyDescent="0.25">
      <c r="A230" s="887"/>
      <c r="B230" s="887"/>
      <c r="C230" s="328"/>
      <c r="D230" s="900"/>
      <c r="E230" s="75" t="s">
        <v>11</v>
      </c>
      <c r="F230" s="76" t="s">
        <v>12</v>
      </c>
      <c r="G230" s="326" t="s">
        <v>11</v>
      </c>
      <c r="H230" s="326" t="s">
        <v>12</v>
      </c>
      <c r="I230" s="326" t="s">
        <v>21</v>
      </c>
      <c r="J230" s="326" t="s">
        <v>11</v>
      </c>
      <c r="K230" s="326" t="s">
        <v>12</v>
      </c>
      <c r="L230" s="326" t="s">
        <v>21</v>
      </c>
    </row>
    <row r="231" spans="1:12" ht="12.75" customHeight="1" x14ac:dyDescent="0.25">
      <c r="A231" s="77">
        <v>45668</v>
      </c>
      <c r="B231" s="113"/>
      <c r="C231" s="7"/>
      <c r="D231" s="79" t="s">
        <v>420</v>
      </c>
      <c r="E231" s="11">
        <f>E227</f>
        <v>22995800</v>
      </c>
      <c r="F231" s="80"/>
      <c r="G231" s="11">
        <f>G227</f>
        <v>22995800</v>
      </c>
      <c r="H231" s="80"/>
      <c r="I231" s="80">
        <f>G231-H231</f>
        <v>22995800</v>
      </c>
      <c r="J231" s="496">
        <v>0</v>
      </c>
      <c r="K231" s="10"/>
      <c r="L231" s="80">
        <f>J231-K231</f>
        <v>0</v>
      </c>
    </row>
    <row r="232" spans="1:12" ht="12.75" customHeight="1" x14ac:dyDescent="0.25">
      <c r="A232" s="81" t="s">
        <v>773</v>
      </c>
      <c r="B232" s="113">
        <v>2001</v>
      </c>
      <c r="C232" s="7"/>
      <c r="D232" s="750" t="s">
        <v>601</v>
      </c>
      <c r="E232" s="750">
        <v>120000</v>
      </c>
      <c r="F232" s="82"/>
      <c r="G232" s="750">
        <v>120000</v>
      </c>
      <c r="H232" s="80"/>
      <c r="I232" s="80">
        <f>I231+G232-H232</f>
        <v>23115800</v>
      </c>
      <c r="J232" s="10"/>
      <c r="K232" s="83"/>
      <c r="L232" s="80">
        <f t="shared" ref="L232:L249" si="21">L231+J232-K232</f>
        <v>0</v>
      </c>
    </row>
    <row r="233" spans="1:12" ht="12.75" customHeight="1" x14ac:dyDescent="0.25">
      <c r="A233" s="81" t="s">
        <v>773</v>
      </c>
      <c r="B233" s="113">
        <v>2001</v>
      </c>
      <c r="C233" s="7"/>
      <c r="D233" s="750" t="s">
        <v>776</v>
      </c>
      <c r="E233" s="750">
        <v>120000</v>
      </c>
      <c r="F233" s="80"/>
      <c r="G233" s="750">
        <v>120000</v>
      </c>
      <c r="H233" s="80"/>
      <c r="I233" s="80">
        <f t="shared" ref="I233:I249" si="22">I232+G233-H233</f>
        <v>23235800</v>
      </c>
      <c r="J233" s="10"/>
      <c r="K233" s="10"/>
      <c r="L233" s="80">
        <f t="shared" si="21"/>
        <v>0</v>
      </c>
    </row>
    <row r="234" spans="1:12" ht="12.75" customHeight="1" x14ac:dyDescent="0.25">
      <c r="A234" s="81" t="s">
        <v>773</v>
      </c>
      <c r="B234" s="113">
        <v>2001</v>
      </c>
      <c r="C234" s="7"/>
      <c r="D234" s="750" t="s">
        <v>602</v>
      </c>
      <c r="E234" s="750">
        <v>120000</v>
      </c>
      <c r="F234" s="80"/>
      <c r="G234" s="750">
        <v>120000</v>
      </c>
      <c r="H234" s="80"/>
      <c r="I234" s="80">
        <f t="shared" si="22"/>
        <v>23355800</v>
      </c>
      <c r="J234" s="10"/>
      <c r="K234" s="10"/>
      <c r="L234" s="80">
        <f t="shared" si="21"/>
        <v>0</v>
      </c>
    </row>
    <row r="235" spans="1:12" ht="12.75" customHeight="1" x14ac:dyDescent="0.25">
      <c r="A235" s="81" t="s">
        <v>773</v>
      </c>
      <c r="B235" s="113">
        <v>2001</v>
      </c>
      <c r="C235" s="7"/>
      <c r="D235" s="750" t="s">
        <v>813</v>
      </c>
      <c r="E235" s="750">
        <v>120000</v>
      </c>
      <c r="F235" s="80"/>
      <c r="G235" s="750">
        <v>120000</v>
      </c>
      <c r="H235" s="80"/>
      <c r="I235" s="80">
        <f t="shared" si="22"/>
        <v>23475800</v>
      </c>
      <c r="J235" s="10"/>
      <c r="K235" s="10"/>
      <c r="L235" s="80">
        <f t="shared" si="21"/>
        <v>0</v>
      </c>
    </row>
    <row r="236" spans="1:12" ht="12.75" customHeight="1" x14ac:dyDescent="0.25">
      <c r="A236" s="81" t="s">
        <v>773</v>
      </c>
      <c r="B236" s="113">
        <v>2001</v>
      </c>
      <c r="C236" s="7"/>
      <c r="D236" s="750" t="s">
        <v>753</v>
      </c>
      <c r="E236" s="750">
        <v>120000</v>
      </c>
      <c r="F236" s="80"/>
      <c r="G236" s="750">
        <v>120000</v>
      </c>
      <c r="H236" s="80"/>
      <c r="I236" s="80">
        <f t="shared" si="22"/>
        <v>23595800</v>
      </c>
      <c r="J236" s="11"/>
      <c r="K236" s="10"/>
      <c r="L236" s="80">
        <f t="shared" si="21"/>
        <v>0</v>
      </c>
    </row>
    <row r="237" spans="1:12" ht="12.75" customHeight="1" x14ac:dyDescent="0.25">
      <c r="A237" s="81" t="s">
        <v>773</v>
      </c>
      <c r="B237" s="113">
        <v>2001</v>
      </c>
      <c r="C237" s="7"/>
      <c r="D237" s="750" t="s">
        <v>606</v>
      </c>
      <c r="E237" s="750">
        <v>120000</v>
      </c>
      <c r="F237" s="80"/>
      <c r="G237" s="750">
        <v>120000</v>
      </c>
      <c r="H237" s="80"/>
      <c r="I237" s="80">
        <f t="shared" si="22"/>
        <v>23715800</v>
      </c>
      <c r="J237" s="10"/>
      <c r="K237" s="10"/>
      <c r="L237" s="80">
        <f t="shared" si="21"/>
        <v>0</v>
      </c>
    </row>
    <row r="238" spans="1:12" ht="12.75" customHeight="1" x14ac:dyDescent="0.25">
      <c r="A238" s="81" t="s">
        <v>773</v>
      </c>
      <c r="B238" s="113">
        <v>2001</v>
      </c>
      <c r="C238" s="7"/>
      <c r="D238" s="750" t="s">
        <v>598</v>
      </c>
      <c r="E238" s="750">
        <v>120000</v>
      </c>
      <c r="F238" s="80"/>
      <c r="G238" s="750">
        <v>120000</v>
      </c>
      <c r="H238" s="80"/>
      <c r="I238" s="80">
        <f t="shared" si="22"/>
        <v>23835800</v>
      </c>
      <c r="J238" s="10"/>
      <c r="K238" s="10"/>
      <c r="L238" s="80">
        <f t="shared" si="21"/>
        <v>0</v>
      </c>
    </row>
    <row r="239" spans="1:12" ht="12.75" customHeight="1" x14ac:dyDescent="0.25">
      <c r="A239" s="81" t="s">
        <v>773</v>
      </c>
      <c r="B239" s="113">
        <v>2001</v>
      </c>
      <c r="C239" s="7"/>
      <c r="D239" s="750" t="s">
        <v>760</v>
      </c>
      <c r="E239" s="750">
        <v>90000</v>
      </c>
      <c r="F239" s="80"/>
      <c r="G239" s="750">
        <v>90000</v>
      </c>
      <c r="H239" s="80"/>
      <c r="I239" s="80">
        <f t="shared" si="22"/>
        <v>23925800</v>
      </c>
      <c r="J239" s="10"/>
      <c r="K239" s="10"/>
      <c r="L239" s="80">
        <f t="shared" si="21"/>
        <v>0</v>
      </c>
    </row>
    <row r="240" spans="1:12" ht="12.75" customHeight="1" x14ac:dyDescent="0.25">
      <c r="A240" s="81" t="s">
        <v>773</v>
      </c>
      <c r="B240" s="113">
        <v>2001</v>
      </c>
      <c r="C240" s="7"/>
      <c r="D240" s="750" t="s">
        <v>600</v>
      </c>
      <c r="E240" s="750">
        <v>90000</v>
      </c>
      <c r="F240" s="80"/>
      <c r="G240" s="750">
        <v>90000</v>
      </c>
      <c r="H240" s="80"/>
      <c r="I240" s="80">
        <f t="shared" si="22"/>
        <v>24015800</v>
      </c>
      <c r="J240" s="10"/>
      <c r="K240" s="10"/>
      <c r="L240" s="80">
        <f t="shared" si="21"/>
        <v>0</v>
      </c>
    </row>
    <row r="241" spans="1:12" ht="12.75" customHeight="1" x14ac:dyDescent="0.25">
      <c r="A241" s="81" t="s">
        <v>773</v>
      </c>
      <c r="B241" s="113">
        <v>2001</v>
      </c>
      <c r="C241" s="7"/>
      <c r="D241" s="750" t="s">
        <v>604</v>
      </c>
      <c r="E241" s="750">
        <v>120000</v>
      </c>
      <c r="F241" s="80"/>
      <c r="G241" s="750">
        <v>120000</v>
      </c>
      <c r="H241" s="80"/>
      <c r="I241" s="80">
        <f t="shared" si="22"/>
        <v>24135800</v>
      </c>
      <c r="J241" s="10"/>
      <c r="K241" s="10"/>
      <c r="L241" s="80">
        <f t="shared" si="21"/>
        <v>0</v>
      </c>
    </row>
    <row r="242" spans="1:12" ht="12.75" customHeight="1" x14ac:dyDescent="0.25">
      <c r="A242" s="81" t="s">
        <v>773</v>
      </c>
      <c r="B242" s="113">
        <v>2002</v>
      </c>
      <c r="C242" s="7"/>
      <c r="D242" s="751" t="s">
        <v>814</v>
      </c>
      <c r="E242" s="750">
        <v>2750000</v>
      </c>
      <c r="F242" s="80"/>
      <c r="G242" s="750">
        <v>2750000</v>
      </c>
      <c r="H242" s="80"/>
      <c r="I242" s="80">
        <f t="shared" si="22"/>
        <v>26885800</v>
      </c>
      <c r="J242" s="10"/>
      <c r="K242" s="10"/>
      <c r="L242" s="80">
        <f t="shared" si="21"/>
        <v>0</v>
      </c>
    </row>
    <row r="243" spans="1:12" ht="12.75" customHeight="1" x14ac:dyDescent="0.25">
      <c r="A243" s="81" t="s">
        <v>773</v>
      </c>
      <c r="B243" s="711">
        <v>5104</v>
      </c>
      <c r="C243" s="7"/>
      <c r="D243" s="753" t="s">
        <v>605</v>
      </c>
      <c r="E243" s="753"/>
      <c r="F243" s="753">
        <v>210000</v>
      </c>
      <c r="G243" s="750"/>
      <c r="H243" s="753">
        <v>210000</v>
      </c>
      <c r="I243" s="80">
        <f t="shared" si="22"/>
        <v>26675800</v>
      </c>
      <c r="J243" s="10"/>
      <c r="K243" s="10"/>
      <c r="L243" s="80"/>
    </row>
    <row r="244" spans="1:12" ht="12.75" customHeight="1" x14ac:dyDescent="0.25">
      <c r="A244" s="81" t="s">
        <v>773</v>
      </c>
      <c r="B244" s="105">
        <v>5103</v>
      </c>
      <c r="C244" s="7"/>
      <c r="D244" s="753" t="s">
        <v>815</v>
      </c>
      <c r="E244" s="753"/>
      <c r="F244" s="753">
        <v>20000</v>
      </c>
      <c r="G244" s="750"/>
      <c r="H244" s="753">
        <v>20000</v>
      </c>
      <c r="I244" s="80">
        <f t="shared" si="22"/>
        <v>26655800</v>
      </c>
      <c r="J244" s="10"/>
      <c r="K244" s="10"/>
      <c r="L244" s="80"/>
    </row>
    <row r="245" spans="1:12" ht="12.75" customHeight="1" x14ac:dyDescent="0.25">
      <c r="A245" s="81" t="s">
        <v>773</v>
      </c>
      <c r="B245" s="105">
        <v>5109</v>
      </c>
      <c r="C245" s="7"/>
      <c r="D245" s="753" t="s">
        <v>816</v>
      </c>
      <c r="E245" s="753"/>
      <c r="F245" s="753">
        <v>200000</v>
      </c>
      <c r="G245" s="555"/>
      <c r="H245" s="753">
        <v>200000</v>
      </c>
      <c r="I245" s="80">
        <f t="shared" si="22"/>
        <v>26455800</v>
      </c>
      <c r="J245" s="10"/>
      <c r="K245" s="10"/>
      <c r="L245" s="80">
        <f>L242+J245-K245</f>
        <v>0</v>
      </c>
    </row>
    <row r="246" spans="1:12" ht="12.75" customHeight="1" x14ac:dyDescent="0.25">
      <c r="A246" s="81" t="s">
        <v>773</v>
      </c>
      <c r="B246" s="105">
        <v>5103</v>
      </c>
      <c r="C246" s="7"/>
      <c r="D246" s="754" t="s">
        <v>817</v>
      </c>
      <c r="E246" s="754"/>
      <c r="F246" s="754">
        <v>50000</v>
      </c>
      <c r="G246" s="555"/>
      <c r="H246" s="754">
        <v>50000</v>
      </c>
      <c r="I246" s="80">
        <f t="shared" si="22"/>
        <v>26405800</v>
      </c>
      <c r="J246" s="10"/>
      <c r="K246" s="10"/>
      <c r="L246" s="80">
        <f t="shared" si="21"/>
        <v>0</v>
      </c>
    </row>
    <row r="247" spans="1:12" ht="12.75" customHeight="1" x14ac:dyDescent="0.25">
      <c r="A247" s="81" t="s">
        <v>773</v>
      </c>
      <c r="B247" s="105">
        <v>5105</v>
      </c>
      <c r="C247" s="7"/>
      <c r="D247" s="753" t="s">
        <v>818</v>
      </c>
      <c r="E247" s="753"/>
      <c r="F247" s="753">
        <v>200000</v>
      </c>
      <c r="G247" s="80"/>
      <c r="H247" s="753">
        <v>200000</v>
      </c>
      <c r="I247" s="80">
        <f t="shared" si="22"/>
        <v>26205800</v>
      </c>
      <c r="J247" s="10"/>
      <c r="K247" s="10"/>
      <c r="L247" s="80">
        <f t="shared" si="21"/>
        <v>0</v>
      </c>
    </row>
    <row r="248" spans="1:12" ht="12.75" customHeight="1" x14ac:dyDescent="0.25">
      <c r="A248" s="81" t="s">
        <v>773</v>
      </c>
      <c r="B248" s="105">
        <v>5101</v>
      </c>
      <c r="C248" s="7"/>
      <c r="D248" s="753" t="s">
        <v>819</v>
      </c>
      <c r="E248" s="753"/>
      <c r="F248" s="753">
        <v>200000</v>
      </c>
      <c r="G248" s="80"/>
      <c r="H248" s="753">
        <v>200000</v>
      </c>
      <c r="I248" s="80">
        <f t="shared" si="22"/>
        <v>26005800</v>
      </c>
      <c r="J248" s="10"/>
      <c r="K248" s="10"/>
      <c r="L248" s="80">
        <f t="shared" si="21"/>
        <v>0</v>
      </c>
    </row>
    <row r="249" spans="1:12" ht="12.75" customHeight="1" x14ac:dyDescent="0.25">
      <c r="A249" s="81" t="s">
        <v>773</v>
      </c>
      <c r="B249" s="105">
        <v>5103</v>
      </c>
      <c r="C249" s="7"/>
      <c r="D249" s="752" t="s">
        <v>820</v>
      </c>
      <c r="E249" s="753"/>
      <c r="F249" s="753">
        <v>200000</v>
      </c>
      <c r="G249" s="80"/>
      <c r="H249" s="753">
        <v>200000</v>
      </c>
      <c r="I249" s="80">
        <f t="shared" si="22"/>
        <v>25805800</v>
      </c>
      <c r="J249" s="10"/>
      <c r="K249" s="10"/>
      <c r="L249" s="80">
        <f t="shared" si="21"/>
        <v>0</v>
      </c>
    </row>
    <row r="250" spans="1:12" ht="12.75" customHeight="1" x14ac:dyDescent="0.25">
      <c r="A250" s="86"/>
      <c r="B250" s="712"/>
      <c r="C250" s="87"/>
      <c r="D250" s="88" t="s">
        <v>63</v>
      </c>
      <c r="E250" s="89">
        <f>SUM(E232:E249)</f>
        <v>3890000</v>
      </c>
      <c r="F250" s="89">
        <f t="shared" ref="F250" si="23">SUM(F232:F249)</f>
        <v>1080000</v>
      </c>
      <c r="G250" s="89">
        <f>SUM(G232:G249)</f>
        <v>3890000</v>
      </c>
      <c r="H250" s="89">
        <f>SUM(H232:H249)</f>
        <v>1080000</v>
      </c>
      <c r="I250" s="90"/>
      <c r="J250" s="90">
        <f>SUM(J232:J249)</f>
        <v>0</v>
      </c>
      <c r="K250" s="90">
        <f>SUM(K232:K249)</f>
        <v>0</v>
      </c>
      <c r="L250" s="90"/>
    </row>
    <row r="251" spans="1:12" ht="12.75" customHeight="1" x14ac:dyDescent="0.25">
      <c r="A251" s="86"/>
      <c r="B251" s="712"/>
      <c r="C251" s="87"/>
      <c r="D251" s="88" t="s">
        <v>64</v>
      </c>
      <c r="E251" s="89">
        <f>E231+E250</f>
        <v>26885800</v>
      </c>
      <c r="F251" s="89">
        <f>F231+F250</f>
        <v>1080000</v>
      </c>
      <c r="G251" s="89">
        <f>G231+G250</f>
        <v>26885800</v>
      </c>
      <c r="H251" s="89">
        <f>H231+H250</f>
        <v>1080000</v>
      </c>
      <c r="I251" s="90"/>
      <c r="J251" s="90">
        <f>J231+J250</f>
        <v>0</v>
      </c>
      <c r="K251" s="90">
        <f>K231+K250</f>
        <v>0</v>
      </c>
      <c r="L251" s="90"/>
    </row>
    <row r="252" spans="1:12" ht="12.75" customHeight="1" x14ac:dyDescent="0.25">
      <c r="A252" s="86"/>
      <c r="B252" s="712"/>
      <c r="C252" s="87"/>
      <c r="D252" s="88" t="s">
        <v>65</v>
      </c>
      <c r="E252" s="89">
        <f>E251-F251</f>
        <v>25805800</v>
      </c>
      <c r="F252" s="86"/>
      <c r="G252" s="89">
        <f>G251-H251</f>
        <v>25805800</v>
      </c>
      <c r="H252" s="86"/>
      <c r="I252" s="86"/>
      <c r="J252" s="90">
        <f>J251-K251</f>
        <v>0</v>
      </c>
      <c r="K252" s="86"/>
      <c r="L252" s="86"/>
    </row>
    <row r="253" spans="1:12" ht="12.75" customHeight="1" x14ac:dyDescent="0.25"/>
    <row r="254" spans="1:12" ht="12.75" customHeight="1" x14ac:dyDescent="0.25">
      <c r="A254" s="886" t="s">
        <v>19</v>
      </c>
      <c r="B254" s="886" t="s">
        <v>9</v>
      </c>
      <c r="C254" s="327" t="s">
        <v>197</v>
      </c>
      <c r="D254" s="899" t="s">
        <v>20</v>
      </c>
      <c r="E254" s="903" t="s">
        <v>357</v>
      </c>
      <c r="F254" s="904"/>
      <c r="G254" s="886" t="s">
        <v>0</v>
      </c>
      <c r="H254" s="886"/>
      <c r="I254" s="886"/>
      <c r="J254" s="886" t="s">
        <v>1</v>
      </c>
      <c r="K254" s="886"/>
      <c r="L254" s="886"/>
    </row>
    <row r="255" spans="1:12" ht="12.75" customHeight="1" x14ac:dyDescent="0.25">
      <c r="A255" s="887"/>
      <c r="B255" s="887"/>
      <c r="C255" s="328"/>
      <c r="D255" s="900"/>
      <c r="E255" s="75" t="s">
        <v>11</v>
      </c>
      <c r="F255" s="76" t="s">
        <v>12</v>
      </c>
      <c r="G255" s="326" t="s">
        <v>11</v>
      </c>
      <c r="H255" s="326" t="s">
        <v>12</v>
      </c>
      <c r="I255" s="326" t="s">
        <v>21</v>
      </c>
      <c r="J255" s="326" t="s">
        <v>11</v>
      </c>
      <c r="K255" s="326" t="s">
        <v>12</v>
      </c>
      <c r="L255" s="326" t="s">
        <v>21</v>
      </c>
    </row>
    <row r="256" spans="1:12" ht="12.75" customHeight="1" x14ac:dyDescent="0.25">
      <c r="A256" s="77">
        <v>44938</v>
      </c>
      <c r="B256" s="113"/>
      <c r="C256" s="7"/>
      <c r="D256" s="79" t="s">
        <v>419</v>
      </c>
      <c r="E256" s="11">
        <f>E252</f>
        <v>25805800</v>
      </c>
      <c r="F256" s="80"/>
      <c r="G256" s="11">
        <f>G252</f>
        <v>25805800</v>
      </c>
      <c r="H256" s="80"/>
      <c r="I256" s="80">
        <f>G256-H256</f>
        <v>25805800</v>
      </c>
      <c r="J256" s="496">
        <v>0</v>
      </c>
      <c r="K256" s="10"/>
      <c r="L256" s="80">
        <f>J256-K256</f>
        <v>0</v>
      </c>
    </row>
    <row r="257" spans="1:12" ht="12.75" customHeight="1" x14ac:dyDescent="0.25">
      <c r="A257" s="81" t="s">
        <v>695</v>
      </c>
      <c r="B257" s="113">
        <v>2001</v>
      </c>
      <c r="C257" s="7"/>
      <c r="D257" s="755" t="s">
        <v>601</v>
      </c>
      <c r="E257" s="755">
        <v>120000</v>
      </c>
      <c r="F257" s="82"/>
      <c r="G257" s="755">
        <v>120000</v>
      </c>
      <c r="H257" s="80"/>
      <c r="I257" s="80">
        <f>I256+G257-H257</f>
        <v>25925800</v>
      </c>
      <c r="J257" s="10"/>
      <c r="K257" s="83"/>
      <c r="L257" s="80">
        <f>L256+J257-K257</f>
        <v>0</v>
      </c>
    </row>
    <row r="258" spans="1:12" ht="12.75" customHeight="1" x14ac:dyDescent="0.25">
      <c r="A258" s="81" t="s">
        <v>695</v>
      </c>
      <c r="B258" s="113">
        <v>2001</v>
      </c>
      <c r="C258" s="7"/>
      <c r="D258" s="755" t="s">
        <v>783</v>
      </c>
      <c r="E258" s="755">
        <v>90000</v>
      </c>
      <c r="F258" s="80"/>
      <c r="G258" s="755">
        <v>90000</v>
      </c>
      <c r="H258" s="80"/>
      <c r="I258" s="80">
        <f t="shared" ref="I258:I275" si="24">I257+G258-H258</f>
        <v>26015800</v>
      </c>
      <c r="J258" s="10"/>
      <c r="K258" s="10"/>
      <c r="L258" s="80">
        <f t="shared" ref="L258:L271" si="25">L257+J258-K258</f>
        <v>0</v>
      </c>
    </row>
    <row r="259" spans="1:12" ht="12.75" customHeight="1" x14ac:dyDescent="0.25">
      <c r="A259" s="81" t="s">
        <v>695</v>
      </c>
      <c r="B259" s="113">
        <v>2001</v>
      </c>
      <c r="C259" s="7"/>
      <c r="D259" s="755" t="s">
        <v>776</v>
      </c>
      <c r="E259" s="755">
        <v>120000</v>
      </c>
      <c r="F259" s="80"/>
      <c r="G259" s="755">
        <v>120000</v>
      </c>
      <c r="H259" s="80"/>
      <c r="I259" s="80">
        <f t="shared" si="24"/>
        <v>26135800</v>
      </c>
      <c r="J259" s="10"/>
      <c r="K259" s="10"/>
      <c r="L259" s="80">
        <f t="shared" si="25"/>
        <v>0</v>
      </c>
    </row>
    <row r="260" spans="1:12" ht="12.75" customHeight="1" x14ac:dyDescent="0.25">
      <c r="A260" s="81" t="s">
        <v>695</v>
      </c>
      <c r="B260" s="113">
        <v>2001</v>
      </c>
      <c r="C260" s="7"/>
      <c r="D260" s="755" t="s">
        <v>606</v>
      </c>
      <c r="E260" s="755">
        <v>120000</v>
      </c>
      <c r="F260" s="80"/>
      <c r="G260" s="755">
        <v>120000</v>
      </c>
      <c r="H260" s="80"/>
      <c r="I260" s="80">
        <f t="shared" si="24"/>
        <v>26255800</v>
      </c>
      <c r="J260" s="10"/>
      <c r="K260" s="10"/>
      <c r="L260" s="80">
        <f t="shared" si="25"/>
        <v>0</v>
      </c>
    </row>
    <row r="261" spans="1:12" ht="12.75" customHeight="1" x14ac:dyDescent="0.25">
      <c r="A261" s="81" t="s">
        <v>695</v>
      </c>
      <c r="B261" s="113">
        <v>2001</v>
      </c>
      <c r="C261" s="7"/>
      <c r="D261" s="755" t="s">
        <v>813</v>
      </c>
      <c r="E261" s="755">
        <v>90000</v>
      </c>
      <c r="F261" s="80"/>
      <c r="G261" s="755">
        <v>90000</v>
      </c>
      <c r="H261" s="80"/>
      <c r="I261" s="80">
        <f t="shared" si="24"/>
        <v>26345800</v>
      </c>
      <c r="J261" s="11"/>
      <c r="K261" s="10"/>
      <c r="L261" s="80">
        <f t="shared" si="25"/>
        <v>0</v>
      </c>
    </row>
    <row r="262" spans="1:12" ht="12.75" customHeight="1" x14ac:dyDescent="0.25">
      <c r="A262" s="81" t="s">
        <v>695</v>
      </c>
      <c r="B262" s="113">
        <v>2001</v>
      </c>
      <c r="C262" s="7"/>
      <c r="D262" s="755" t="s">
        <v>598</v>
      </c>
      <c r="E262" s="755">
        <v>120000</v>
      </c>
      <c r="F262" s="80"/>
      <c r="G262" s="755">
        <v>120000</v>
      </c>
      <c r="H262" s="80"/>
      <c r="I262" s="80">
        <f t="shared" si="24"/>
        <v>26465800</v>
      </c>
      <c r="J262" s="10"/>
      <c r="K262" s="10"/>
      <c r="L262" s="80">
        <f t="shared" si="25"/>
        <v>0</v>
      </c>
    </row>
    <row r="263" spans="1:12" ht="12.75" customHeight="1" x14ac:dyDescent="0.25">
      <c r="A263" s="81" t="s">
        <v>695</v>
      </c>
      <c r="B263" s="113">
        <v>2001</v>
      </c>
      <c r="C263" s="7"/>
      <c r="D263" s="755" t="s">
        <v>810</v>
      </c>
      <c r="E263" s="755">
        <v>90000</v>
      </c>
      <c r="F263" s="80"/>
      <c r="G263" s="755">
        <v>90000</v>
      </c>
      <c r="H263" s="80"/>
      <c r="I263" s="80">
        <f t="shared" si="24"/>
        <v>26555800</v>
      </c>
      <c r="J263" s="10"/>
      <c r="K263" s="10"/>
      <c r="L263" s="80">
        <f t="shared" si="25"/>
        <v>0</v>
      </c>
    </row>
    <row r="264" spans="1:12" ht="12.75" customHeight="1" x14ac:dyDescent="0.25">
      <c r="A264" s="81" t="s">
        <v>695</v>
      </c>
      <c r="B264" s="113">
        <v>2001</v>
      </c>
      <c r="C264" s="7"/>
      <c r="D264" s="755" t="s">
        <v>750</v>
      </c>
      <c r="E264" s="755">
        <v>120000</v>
      </c>
      <c r="F264" s="80"/>
      <c r="G264" s="755">
        <v>120000</v>
      </c>
      <c r="H264" s="80"/>
      <c r="I264" s="80">
        <f t="shared" si="24"/>
        <v>26675800</v>
      </c>
      <c r="J264" s="10"/>
      <c r="K264" s="10"/>
      <c r="L264" s="80">
        <f t="shared" si="25"/>
        <v>0</v>
      </c>
    </row>
    <row r="265" spans="1:12" ht="12.75" customHeight="1" x14ac:dyDescent="0.25">
      <c r="A265" s="81" t="s">
        <v>695</v>
      </c>
      <c r="B265" s="113">
        <v>2001</v>
      </c>
      <c r="C265" s="7"/>
      <c r="D265" s="755" t="s">
        <v>600</v>
      </c>
      <c r="E265" s="755">
        <v>120000</v>
      </c>
      <c r="F265" s="80"/>
      <c r="G265" s="755">
        <v>120000</v>
      </c>
      <c r="H265" s="80"/>
      <c r="I265" s="80">
        <f t="shared" si="24"/>
        <v>26795800</v>
      </c>
      <c r="J265" s="10"/>
      <c r="K265" s="10"/>
      <c r="L265" s="80">
        <f t="shared" si="25"/>
        <v>0</v>
      </c>
    </row>
    <row r="266" spans="1:12" ht="12.75" customHeight="1" x14ac:dyDescent="0.25">
      <c r="A266" s="81" t="s">
        <v>695</v>
      </c>
      <c r="B266" s="113">
        <v>2001</v>
      </c>
      <c r="C266" s="7"/>
      <c r="D266" s="755" t="s">
        <v>693</v>
      </c>
      <c r="E266" s="755">
        <v>120000</v>
      </c>
      <c r="F266" s="80"/>
      <c r="G266" s="755">
        <v>120000</v>
      </c>
      <c r="H266" s="80"/>
      <c r="I266" s="80">
        <f t="shared" si="24"/>
        <v>26915800</v>
      </c>
      <c r="J266" s="10"/>
      <c r="K266" s="10"/>
      <c r="L266" s="80">
        <f t="shared" si="25"/>
        <v>0</v>
      </c>
    </row>
    <row r="267" spans="1:12" ht="12.75" customHeight="1" x14ac:dyDescent="0.25">
      <c r="A267" s="81" t="s">
        <v>695</v>
      </c>
      <c r="B267" s="113">
        <v>2001</v>
      </c>
      <c r="C267" s="7"/>
      <c r="D267" s="756" t="s">
        <v>778</v>
      </c>
      <c r="E267" s="755">
        <v>120000</v>
      </c>
      <c r="F267" s="80"/>
      <c r="G267" s="755">
        <v>120000</v>
      </c>
      <c r="H267" s="80"/>
      <c r="I267" s="80">
        <f t="shared" si="24"/>
        <v>27035800</v>
      </c>
      <c r="J267" s="10"/>
      <c r="K267" s="10"/>
      <c r="L267" s="80">
        <f t="shared" si="25"/>
        <v>0</v>
      </c>
    </row>
    <row r="268" spans="1:12" ht="12.75" customHeight="1" x14ac:dyDescent="0.25">
      <c r="A268" s="81" t="s">
        <v>695</v>
      </c>
      <c r="B268" s="113">
        <v>2002</v>
      </c>
      <c r="C268" s="7"/>
      <c r="D268" s="757" t="s">
        <v>821</v>
      </c>
      <c r="E268" s="757">
        <v>2400000</v>
      </c>
      <c r="F268" s="655"/>
      <c r="G268" s="757">
        <v>2400000</v>
      </c>
      <c r="H268" s="655"/>
      <c r="I268" s="80">
        <f t="shared" si="24"/>
        <v>29435800</v>
      </c>
      <c r="J268" s="10"/>
      <c r="K268" s="10"/>
      <c r="L268" s="80">
        <f t="shared" si="25"/>
        <v>0</v>
      </c>
    </row>
    <row r="269" spans="1:12" ht="12.75" customHeight="1" x14ac:dyDescent="0.25">
      <c r="A269" s="81" t="s">
        <v>695</v>
      </c>
      <c r="B269" s="98">
        <v>2003</v>
      </c>
      <c r="C269" s="7"/>
      <c r="D269" s="757" t="s">
        <v>822</v>
      </c>
      <c r="E269" s="757">
        <v>600000</v>
      </c>
      <c r="F269" s="555"/>
      <c r="G269" s="757">
        <v>600000</v>
      </c>
      <c r="H269" s="555"/>
      <c r="I269" s="80">
        <f t="shared" si="24"/>
        <v>30035800</v>
      </c>
      <c r="J269" s="10"/>
      <c r="K269" s="10"/>
      <c r="L269" s="80">
        <f t="shared" si="25"/>
        <v>0</v>
      </c>
    </row>
    <row r="270" spans="1:12" ht="12.75" customHeight="1" x14ac:dyDescent="0.25">
      <c r="A270" s="81" t="s">
        <v>695</v>
      </c>
      <c r="B270" s="98">
        <v>3001</v>
      </c>
      <c r="C270" s="7"/>
      <c r="D270" s="757" t="s">
        <v>823</v>
      </c>
      <c r="E270" s="757">
        <v>1000000</v>
      </c>
      <c r="F270" s="555"/>
      <c r="G270" s="757">
        <v>1000000</v>
      </c>
      <c r="H270" s="555"/>
      <c r="I270" s="80">
        <f t="shared" si="24"/>
        <v>31035800</v>
      </c>
      <c r="J270" s="10"/>
      <c r="K270" s="655"/>
      <c r="L270" s="80">
        <f t="shared" si="25"/>
        <v>0</v>
      </c>
    </row>
    <row r="271" spans="1:12" ht="12.75" customHeight="1" x14ac:dyDescent="0.25">
      <c r="A271" s="81" t="s">
        <v>695</v>
      </c>
      <c r="B271" s="98">
        <v>5104</v>
      </c>
      <c r="C271" s="7"/>
      <c r="D271" s="759" t="s">
        <v>605</v>
      </c>
      <c r="E271" s="759"/>
      <c r="F271" s="759">
        <v>105000</v>
      </c>
      <c r="G271" s="80"/>
      <c r="H271" s="759">
        <v>105000</v>
      </c>
      <c r="I271" s="80">
        <f t="shared" si="24"/>
        <v>30930800</v>
      </c>
      <c r="J271" s="10"/>
      <c r="K271" s="10"/>
      <c r="L271" s="80">
        <f t="shared" si="25"/>
        <v>0</v>
      </c>
    </row>
    <row r="272" spans="1:12" ht="12.75" customHeight="1" x14ac:dyDescent="0.25">
      <c r="A272" s="81" t="s">
        <v>695</v>
      </c>
      <c r="B272" s="98">
        <v>5101</v>
      </c>
      <c r="C272" s="7"/>
      <c r="D272" s="759" t="s">
        <v>698</v>
      </c>
      <c r="E272" s="759"/>
      <c r="F272" s="759">
        <v>2400000</v>
      </c>
      <c r="G272" s="80"/>
      <c r="H272" s="759">
        <v>2400000</v>
      </c>
      <c r="I272" s="80">
        <f t="shared" si="24"/>
        <v>28530800</v>
      </c>
      <c r="J272" s="10"/>
      <c r="K272" s="10"/>
      <c r="L272" s="80"/>
    </row>
    <row r="273" spans="1:12" ht="12.75" customHeight="1" x14ac:dyDescent="0.25">
      <c r="A273" s="81" t="s">
        <v>695</v>
      </c>
      <c r="B273" s="98">
        <v>5109</v>
      </c>
      <c r="C273" s="7"/>
      <c r="D273" s="758" t="s">
        <v>817</v>
      </c>
      <c r="E273" s="760"/>
      <c r="F273" s="760">
        <v>50000</v>
      </c>
      <c r="G273" s="80"/>
      <c r="H273" s="760">
        <v>50000</v>
      </c>
      <c r="I273" s="80">
        <f t="shared" si="24"/>
        <v>28480800</v>
      </c>
      <c r="J273" s="10"/>
      <c r="K273" s="10"/>
      <c r="L273" s="80"/>
    </row>
    <row r="274" spans="1:12" ht="12.75" customHeight="1" x14ac:dyDescent="0.25">
      <c r="A274" s="81" t="s">
        <v>695</v>
      </c>
      <c r="B274" s="98">
        <v>5109</v>
      </c>
      <c r="C274" s="7"/>
      <c r="D274" s="762" t="s">
        <v>820</v>
      </c>
      <c r="E274" s="763"/>
      <c r="F274" s="763">
        <v>98100</v>
      </c>
      <c r="G274" s="80"/>
      <c r="H274" s="763">
        <v>98100</v>
      </c>
      <c r="I274" s="80">
        <f t="shared" si="24"/>
        <v>28382700</v>
      </c>
      <c r="J274" s="10"/>
      <c r="K274" s="10"/>
      <c r="L274" s="80"/>
    </row>
    <row r="275" spans="1:12" ht="12.75" customHeight="1" x14ac:dyDescent="0.25">
      <c r="A275" s="81" t="s">
        <v>695</v>
      </c>
      <c r="B275" s="98">
        <v>5101</v>
      </c>
      <c r="C275" s="7"/>
      <c r="D275" s="759" t="s">
        <v>824</v>
      </c>
      <c r="E275" s="732"/>
      <c r="F275" s="732">
        <v>13753800</v>
      </c>
      <c r="G275" s="80"/>
      <c r="H275" s="732">
        <v>13753800</v>
      </c>
      <c r="I275" s="80">
        <f t="shared" si="24"/>
        <v>14628900</v>
      </c>
      <c r="J275" s="10"/>
      <c r="K275" s="10"/>
      <c r="L275" s="80"/>
    </row>
    <row r="276" spans="1:12" ht="12.75" customHeight="1" x14ac:dyDescent="0.25">
      <c r="A276" s="81" t="s">
        <v>695</v>
      </c>
      <c r="B276" s="731" t="s">
        <v>460</v>
      </c>
      <c r="C276" s="7"/>
      <c r="D276" s="758" t="s">
        <v>825</v>
      </c>
      <c r="E276" s="760"/>
      <c r="F276" s="813">
        <v>6880000</v>
      </c>
      <c r="G276" s="80"/>
      <c r="H276" s="813">
        <v>6880000</v>
      </c>
      <c r="I276" s="80">
        <f>I275+G276-H276</f>
        <v>7748900</v>
      </c>
      <c r="J276" s="10"/>
      <c r="K276" s="10"/>
      <c r="L276" s="80">
        <f>L271+J276-K276</f>
        <v>0</v>
      </c>
    </row>
    <row r="277" spans="1:12" ht="12.75" customHeight="1" x14ac:dyDescent="0.25">
      <c r="A277" s="86"/>
      <c r="B277" s="712"/>
      <c r="C277" s="87"/>
      <c r="D277" s="88" t="s">
        <v>63</v>
      </c>
      <c r="E277" s="89">
        <f>SUM(E257:E276)</f>
        <v>5230000</v>
      </c>
      <c r="F277" s="89">
        <f>SUM(F257:F276)</f>
        <v>23286900</v>
      </c>
      <c r="G277" s="89">
        <f>SUM(G257:G276)</f>
        <v>5230000</v>
      </c>
      <c r="H277" s="89">
        <f>SUM(H257:H276)</f>
        <v>23286900</v>
      </c>
      <c r="I277" s="90"/>
      <c r="J277" s="90">
        <f>SUM(J257:J276)</f>
        <v>0</v>
      </c>
      <c r="K277" s="90">
        <f>SUM(K257:K276)</f>
        <v>0</v>
      </c>
      <c r="L277" s="90"/>
    </row>
    <row r="278" spans="1:12" ht="12.75" customHeight="1" x14ac:dyDescent="0.25">
      <c r="A278" s="86"/>
      <c r="B278" s="712"/>
      <c r="C278" s="87"/>
      <c r="D278" s="88" t="s">
        <v>64</v>
      </c>
      <c r="E278" s="89">
        <f>E256+E277</f>
        <v>31035800</v>
      </c>
      <c r="F278" s="89">
        <f>F256+F277</f>
        <v>23286900</v>
      </c>
      <c r="G278" s="89">
        <f>G256+G277</f>
        <v>31035800</v>
      </c>
      <c r="H278" s="89">
        <f>H256+H277</f>
        <v>23286900</v>
      </c>
      <c r="I278" s="90"/>
      <c r="J278" s="90">
        <f>J256+J277</f>
        <v>0</v>
      </c>
      <c r="K278" s="90">
        <f>K256+K277</f>
        <v>0</v>
      </c>
      <c r="L278" s="90"/>
    </row>
    <row r="279" spans="1:12" ht="12.75" customHeight="1" x14ac:dyDescent="0.25">
      <c r="A279" s="86"/>
      <c r="B279" s="712"/>
      <c r="C279" s="87"/>
      <c r="D279" s="88" t="s">
        <v>65</v>
      </c>
      <c r="E279" s="89">
        <f>E278-F278</f>
        <v>7748900</v>
      </c>
      <c r="F279" s="86"/>
      <c r="G279" s="89">
        <f>G278-H278</f>
        <v>7748900</v>
      </c>
      <c r="H279" s="86"/>
      <c r="I279" s="86"/>
      <c r="J279" s="90">
        <f>J278-K278</f>
        <v>0</v>
      </c>
      <c r="K279" s="86"/>
      <c r="L279" s="86"/>
    </row>
    <row r="280" spans="1:12" ht="12.75" customHeight="1" x14ac:dyDescent="0.25">
      <c r="E280" s="268">
        <f>E279-gedung!D109</f>
        <v>0</v>
      </c>
      <c r="G280" s="268">
        <f>E279-G279</f>
        <v>0</v>
      </c>
    </row>
    <row r="281" spans="1:12" ht="12.75" customHeight="1" x14ac:dyDescent="0.25">
      <c r="H281" s="761"/>
      <c r="I281" t="str">
        <f>gedung!C111</f>
        <v>Balongbesuk 18 Pebruari 2025</v>
      </c>
    </row>
    <row r="282" spans="1:12" ht="12.75" customHeight="1" x14ac:dyDescent="0.25">
      <c r="D282" t="str">
        <f>gedung!B112</f>
        <v>Mengetahui;</v>
      </c>
      <c r="H282" s="254"/>
      <c r="I282" t="str">
        <f>gedung!C112</f>
        <v xml:space="preserve">Dibuat Oleh </v>
      </c>
    </row>
    <row r="283" spans="1:12" ht="12.75" customHeight="1" x14ac:dyDescent="0.25">
      <c r="I283" t="str">
        <f>gedung!C113</f>
        <v>Kepala unit Pengelolaan Gedung Serba Guna</v>
      </c>
    </row>
    <row r="284" spans="1:12" ht="12.75" customHeight="1" x14ac:dyDescent="0.25"/>
    <row r="285" spans="1:12" ht="12.75" customHeight="1" x14ac:dyDescent="0.25"/>
    <row r="286" spans="1:12" ht="12.75" customHeight="1" x14ac:dyDescent="0.25"/>
    <row r="287" spans="1:12" ht="12.75" customHeight="1" x14ac:dyDescent="0.25">
      <c r="D287" s="413" t="str">
        <f>gedung!B117</f>
        <v>DODIK SUSANTO, S.Fil.I</v>
      </c>
      <c r="I287" s="417" t="str">
        <f>gedung!C117</f>
        <v>BAIRUL SETIAWAN</v>
      </c>
    </row>
    <row r="288" spans="1:12" ht="12.75" customHeight="1" x14ac:dyDescent="0.25">
      <c r="D288" s="268" t="str">
        <f>gedung!B118</f>
        <v>Direktur BUMDES</v>
      </c>
    </row>
  </sheetData>
  <mergeCells count="72">
    <mergeCell ref="J31:L31"/>
    <mergeCell ref="A6:A7"/>
    <mergeCell ref="B6:B7"/>
    <mergeCell ref="D6:D7"/>
    <mergeCell ref="E6:F6"/>
    <mergeCell ref="G6:I6"/>
    <mergeCell ref="J6:L6"/>
    <mergeCell ref="A31:A32"/>
    <mergeCell ref="B31:B32"/>
    <mergeCell ref="D31:D32"/>
    <mergeCell ref="E31:F31"/>
    <mergeCell ref="G31:I31"/>
    <mergeCell ref="J72:L72"/>
    <mergeCell ref="A54:A55"/>
    <mergeCell ref="B54:B55"/>
    <mergeCell ref="D54:D55"/>
    <mergeCell ref="E54:F54"/>
    <mergeCell ref="G54:I54"/>
    <mergeCell ref="J54:L54"/>
    <mergeCell ref="A72:A73"/>
    <mergeCell ref="B72:B73"/>
    <mergeCell ref="D72:D73"/>
    <mergeCell ref="E72:F72"/>
    <mergeCell ref="G72:I72"/>
    <mergeCell ref="J115:L115"/>
    <mergeCell ref="A93:A94"/>
    <mergeCell ref="B93:B94"/>
    <mergeCell ref="D93:D94"/>
    <mergeCell ref="E93:F93"/>
    <mergeCell ref="G93:I93"/>
    <mergeCell ref="J93:L93"/>
    <mergeCell ref="A115:A116"/>
    <mergeCell ref="B115:B116"/>
    <mergeCell ref="D115:D116"/>
    <mergeCell ref="E115:F115"/>
    <mergeCell ref="G115:I115"/>
    <mergeCell ref="J163:L163"/>
    <mergeCell ref="A140:A141"/>
    <mergeCell ref="B140:B141"/>
    <mergeCell ref="D140:D141"/>
    <mergeCell ref="E140:F140"/>
    <mergeCell ref="G140:I140"/>
    <mergeCell ref="J140:L140"/>
    <mergeCell ref="A163:A164"/>
    <mergeCell ref="B163:B164"/>
    <mergeCell ref="D163:D164"/>
    <mergeCell ref="E163:F163"/>
    <mergeCell ref="G163:I163"/>
    <mergeCell ref="J207:L207"/>
    <mergeCell ref="A186:A187"/>
    <mergeCell ref="B186:B187"/>
    <mergeCell ref="D186:D187"/>
    <mergeCell ref="E186:F186"/>
    <mergeCell ref="G186:I186"/>
    <mergeCell ref="J186:L186"/>
    <mergeCell ref="A207:A208"/>
    <mergeCell ref="B207:B208"/>
    <mergeCell ref="D207:D208"/>
    <mergeCell ref="E207:F207"/>
    <mergeCell ref="G207:I207"/>
    <mergeCell ref="J254:L254"/>
    <mergeCell ref="A229:A230"/>
    <mergeCell ref="B229:B230"/>
    <mergeCell ref="D229:D230"/>
    <mergeCell ref="E229:F229"/>
    <mergeCell ref="G229:I229"/>
    <mergeCell ref="J229:L229"/>
    <mergeCell ref="A254:A255"/>
    <mergeCell ref="B254:B255"/>
    <mergeCell ref="D254:D255"/>
    <mergeCell ref="E254:F254"/>
    <mergeCell ref="G254:I254"/>
  </mergeCells>
  <pageMargins left="0.25" right="0.25" top="0.5" bottom="0.5" header="0.3" footer="0.3"/>
  <pageSetup paperSize="9" scale="88" orientation="landscape" horizontalDpi="4294967293" r:id="rId1"/>
  <rowBreaks count="6" manualBreakCount="6">
    <brk id="46" max="11" man="1"/>
    <brk id="91" max="11" man="1"/>
    <brk id="139" max="11" man="1"/>
    <brk id="185" max="11" man="1"/>
    <brk id="228" max="11" man="1"/>
    <brk id="253" max="11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Q140"/>
  <sheetViews>
    <sheetView view="pageBreakPreview" topLeftCell="E119" zoomScale="154" zoomScaleNormal="100" zoomScaleSheetLayoutView="154" workbookViewId="0">
      <selection activeCell="H122" sqref="H122"/>
    </sheetView>
  </sheetViews>
  <sheetFormatPr defaultRowHeight="15" x14ac:dyDescent="0.25"/>
  <cols>
    <col min="1" max="1" width="12.5703125" style="316" customWidth="1"/>
    <col min="2" max="2" width="8.28515625" style="68" customWidth="1"/>
    <col min="3" max="3" width="21.140625" style="68" hidden="1" customWidth="1"/>
    <col min="4" max="4" width="6.85546875" hidden="1" customWidth="1"/>
    <col min="5" max="5" width="32.28515625" style="69" customWidth="1"/>
    <col min="6" max="6" width="15.7109375" style="1" bestFit="1" customWidth="1"/>
    <col min="7" max="7" width="16.7109375" customWidth="1"/>
    <col min="8" max="8" width="15.85546875" bestFit="1" customWidth="1"/>
    <col min="9" max="9" width="14.28515625" bestFit="1" customWidth="1"/>
    <col min="10" max="10" width="15.42578125" style="564" bestFit="1" customWidth="1"/>
    <col min="11" max="11" width="16" style="607" customWidth="1"/>
    <col min="12" max="12" width="13.7109375" customWidth="1"/>
    <col min="13" max="13" width="15.85546875" style="564" bestFit="1" customWidth="1"/>
    <col min="14" max="14" width="7.42578125" customWidth="1"/>
    <col min="15" max="15" width="16.5703125" style="317" bestFit="1" customWidth="1"/>
    <col min="16" max="16" width="14.28515625" style="317" bestFit="1" customWidth="1"/>
    <col min="17" max="17" width="16.5703125" style="317" bestFit="1" customWidth="1"/>
  </cols>
  <sheetData>
    <row r="1" spans="1:17" ht="21" x14ac:dyDescent="0.35">
      <c r="A1" s="550" t="s">
        <v>18</v>
      </c>
      <c r="K1" s="606"/>
    </row>
    <row r="2" spans="1:17" ht="19.5" x14ac:dyDescent="0.3">
      <c r="A2" s="540" t="s">
        <v>237</v>
      </c>
      <c r="H2" s="574">
        <v>52884578.82</v>
      </c>
      <c r="I2">
        <v>34391639.920000002</v>
      </c>
      <c r="J2" s="565">
        <v>34391639.920000002</v>
      </c>
      <c r="K2" s="606"/>
      <c r="L2" s="15"/>
    </row>
    <row r="3" spans="1:17" x14ac:dyDescent="0.25">
      <c r="A3" s="541" t="str">
        <f>gedung!A3</f>
        <v>TAHUN ANGGARAN 2025</v>
      </c>
      <c r="H3" s="574">
        <v>52884578.82</v>
      </c>
      <c r="I3" s="268">
        <v>18582941.170000002</v>
      </c>
      <c r="J3" s="565">
        <v>18582941.170000002</v>
      </c>
      <c r="K3" s="606"/>
      <c r="L3" s="15"/>
    </row>
    <row r="4" spans="1:17" x14ac:dyDescent="0.25">
      <c r="G4" s="575"/>
      <c r="H4" s="607">
        <f>H3-K7</f>
        <v>34301637.649999999</v>
      </c>
      <c r="I4" s="268">
        <f>SUM(I2:I3)</f>
        <v>52974581.090000004</v>
      </c>
    </row>
    <row r="5" spans="1:17" x14ac:dyDescent="0.25">
      <c r="A5" s="886" t="s">
        <v>19</v>
      </c>
      <c r="B5" s="896" t="s">
        <v>9</v>
      </c>
      <c r="C5" s="311" t="s">
        <v>197</v>
      </c>
      <c r="D5" s="308"/>
      <c r="E5" s="899" t="s">
        <v>20</v>
      </c>
      <c r="F5" s="903" t="s">
        <v>357</v>
      </c>
      <c r="G5" s="904"/>
      <c r="H5" s="886" t="s">
        <v>0</v>
      </c>
      <c r="I5" s="886"/>
      <c r="J5" s="886"/>
      <c r="K5" s="886" t="s">
        <v>1</v>
      </c>
      <c r="L5" s="886"/>
      <c r="M5" s="886"/>
      <c r="N5" s="308"/>
      <c r="O5" s="909" t="s">
        <v>411</v>
      </c>
      <c r="P5" s="910"/>
      <c r="Q5" s="911"/>
    </row>
    <row r="6" spans="1:17" x14ac:dyDescent="0.25">
      <c r="A6" s="887"/>
      <c r="B6" s="897"/>
      <c r="C6" s="312"/>
      <c r="D6" s="309"/>
      <c r="E6" s="900"/>
      <c r="F6" s="75" t="s">
        <v>11</v>
      </c>
      <c r="G6" s="76" t="s">
        <v>12</v>
      </c>
      <c r="H6" s="309" t="s">
        <v>11</v>
      </c>
      <c r="I6" s="309" t="s">
        <v>12</v>
      </c>
      <c r="J6" s="566" t="s">
        <v>21</v>
      </c>
      <c r="K6" s="608" t="s">
        <v>11</v>
      </c>
      <c r="L6" s="309" t="s">
        <v>12</v>
      </c>
      <c r="M6" s="566" t="s">
        <v>21</v>
      </c>
      <c r="N6" s="309"/>
      <c r="O6" s="318" t="s">
        <v>11</v>
      </c>
      <c r="P6" s="318" t="s">
        <v>12</v>
      </c>
      <c r="Q6" s="318" t="s">
        <v>21</v>
      </c>
    </row>
    <row r="7" spans="1:17" x14ac:dyDescent="0.25">
      <c r="A7" s="659">
        <v>45658</v>
      </c>
      <c r="B7" s="660"/>
      <c r="C7" s="660"/>
      <c r="D7" s="661"/>
      <c r="E7" s="662" t="s">
        <v>749</v>
      </c>
      <c r="F7" s="574">
        <v>52884578.82</v>
      </c>
      <c r="G7" s="663"/>
      <c r="H7" s="565">
        <v>34301637.649999999</v>
      </c>
      <c r="I7" s="663"/>
      <c r="J7" s="664">
        <f>H7-I7</f>
        <v>34301637.649999999</v>
      </c>
      <c r="K7" s="609">
        <v>18582941.170000002</v>
      </c>
      <c r="L7" s="665"/>
      <c r="M7" s="664">
        <f>K7-L7</f>
        <v>18582941.170000002</v>
      </c>
      <c r="N7" s="80"/>
      <c r="O7" s="319">
        <v>0</v>
      </c>
      <c r="P7" s="319"/>
      <c r="Q7" s="319">
        <f>O7-P7</f>
        <v>0</v>
      </c>
    </row>
    <row r="8" spans="1:17" x14ac:dyDescent="0.25">
      <c r="A8" s="320"/>
      <c r="B8" s="98"/>
      <c r="C8" s="7"/>
      <c r="D8" s="78"/>
      <c r="E8" s="666"/>
      <c r="F8" s="11"/>
      <c r="G8" s="667"/>
      <c r="H8" s="85"/>
      <c r="I8" s="667"/>
      <c r="J8" s="459">
        <f>J7+H8-I8</f>
        <v>34301637.649999999</v>
      </c>
      <c r="K8" s="610"/>
      <c r="L8" s="10"/>
      <c r="M8" s="459">
        <f>M7+K8-L8</f>
        <v>18582941.170000002</v>
      </c>
      <c r="N8" s="80"/>
      <c r="O8" s="319"/>
      <c r="P8" s="319"/>
      <c r="Q8" s="319" t="e">
        <f>#REF!+O8-P8</f>
        <v>#REF!</v>
      </c>
    </row>
    <row r="9" spans="1:17" x14ac:dyDescent="0.25">
      <c r="A9" s="321"/>
      <c r="B9" s="87"/>
      <c r="C9" s="87"/>
      <c r="D9" s="86"/>
      <c r="E9" s="88" t="s">
        <v>63</v>
      </c>
      <c r="F9" s="89">
        <f>SUM(F8:F8)</f>
        <v>0</v>
      </c>
      <c r="G9" s="90">
        <f>SUM(G8:G8)</f>
        <v>0</v>
      </c>
      <c r="H9" s="90">
        <f>SUM(H8:H8)</f>
        <v>0</v>
      </c>
      <c r="I9" s="90">
        <f>SUM(I8:I8)</f>
        <v>0</v>
      </c>
      <c r="J9" s="455"/>
      <c r="K9" s="611">
        <f>SUM(K8:K8)</f>
        <v>0</v>
      </c>
      <c r="L9" s="90">
        <f>SUM(L8:L8)</f>
        <v>0</v>
      </c>
      <c r="M9" s="455"/>
      <c r="N9" s="90"/>
      <c r="O9" s="90">
        <f>SUM(O8:O8)</f>
        <v>0</v>
      </c>
      <c r="P9" s="90">
        <f>SUM(P8:P8)</f>
        <v>0</v>
      </c>
      <c r="Q9" s="90"/>
    </row>
    <row r="10" spans="1:17" x14ac:dyDescent="0.25">
      <c r="A10" s="321"/>
      <c r="B10" s="87"/>
      <c r="C10" s="87"/>
      <c r="D10" s="86"/>
      <c r="E10" s="88" t="s">
        <v>64</v>
      </c>
      <c r="F10" s="89">
        <f>F7+F9</f>
        <v>52884578.82</v>
      </c>
      <c r="G10" s="90">
        <f>G7+G9</f>
        <v>0</v>
      </c>
      <c r="H10" s="455">
        <f>H7+H9</f>
        <v>34301637.649999999</v>
      </c>
      <c r="I10" s="90">
        <f>I7+I9</f>
        <v>0</v>
      </c>
      <c r="J10" s="455"/>
      <c r="K10" s="611">
        <f>K7+K9</f>
        <v>18582941.170000002</v>
      </c>
      <c r="L10" s="90">
        <f>L7+L9</f>
        <v>0</v>
      </c>
      <c r="M10" s="455"/>
      <c r="N10" s="90"/>
      <c r="O10" s="90">
        <f>O7+O9</f>
        <v>0</v>
      </c>
      <c r="P10" s="90">
        <f>P7+P9</f>
        <v>0</v>
      </c>
      <c r="Q10" s="90"/>
    </row>
    <row r="11" spans="1:17" x14ac:dyDescent="0.25">
      <c r="A11" s="321"/>
      <c r="B11" s="87"/>
      <c r="C11" s="87"/>
      <c r="D11" s="86"/>
      <c r="E11" s="88" t="s">
        <v>65</v>
      </c>
      <c r="F11" s="89">
        <f>F10-G10</f>
        <v>52884578.82</v>
      </c>
      <c r="G11" s="86"/>
      <c r="H11" s="455">
        <f>H10-I10</f>
        <v>34301637.649999999</v>
      </c>
      <c r="I11" s="86"/>
      <c r="J11" s="455"/>
      <c r="K11" s="611">
        <f>K10-L10</f>
        <v>18582941.170000002</v>
      </c>
      <c r="L11" s="86"/>
      <c r="M11" s="455"/>
      <c r="N11" s="86"/>
      <c r="O11" s="90">
        <f>O10-P10</f>
        <v>0</v>
      </c>
      <c r="P11" s="86"/>
      <c r="Q11" s="86"/>
    </row>
    <row r="12" spans="1:17" x14ac:dyDescent="0.25">
      <c r="H12" s="268">
        <f>(H11+K11)-F11</f>
        <v>0</v>
      </c>
    </row>
    <row r="13" spans="1:17" x14ac:dyDescent="0.25">
      <c r="A13" s="885" t="s">
        <v>19</v>
      </c>
      <c r="B13" s="893" t="s">
        <v>9</v>
      </c>
      <c r="C13" s="305"/>
      <c r="D13" s="307"/>
      <c r="E13" s="891" t="s">
        <v>20</v>
      </c>
      <c r="F13" s="888" t="s">
        <v>11</v>
      </c>
      <c r="G13" s="885" t="s">
        <v>12</v>
      </c>
      <c r="H13" s="885" t="s">
        <v>0</v>
      </c>
      <c r="I13" s="885"/>
      <c r="J13" s="885"/>
      <c r="K13" s="885" t="s">
        <v>1</v>
      </c>
      <c r="L13" s="885"/>
      <c r="M13" s="885"/>
      <c r="N13" s="307"/>
      <c r="O13" s="909" t="s">
        <v>411</v>
      </c>
      <c r="P13" s="910"/>
      <c r="Q13" s="911"/>
    </row>
    <row r="14" spans="1:17" ht="15.75" thickBot="1" x14ac:dyDescent="0.3">
      <c r="A14" s="898"/>
      <c r="B14" s="902"/>
      <c r="C14" s="306"/>
      <c r="D14" s="310"/>
      <c r="E14" s="901"/>
      <c r="F14" s="889"/>
      <c r="G14" s="898"/>
      <c r="H14" s="310" t="s">
        <v>11</v>
      </c>
      <c r="I14" s="310" t="s">
        <v>12</v>
      </c>
      <c r="J14" s="567" t="s">
        <v>21</v>
      </c>
      <c r="K14" s="612" t="s">
        <v>11</v>
      </c>
      <c r="L14" s="310" t="s">
        <v>12</v>
      </c>
      <c r="M14" s="567" t="s">
        <v>21</v>
      </c>
      <c r="N14" s="310"/>
      <c r="O14" s="318" t="s">
        <v>11</v>
      </c>
      <c r="P14" s="318" t="s">
        <v>12</v>
      </c>
      <c r="Q14" s="318" t="s">
        <v>21</v>
      </c>
    </row>
    <row r="15" spans="1:17" ht="15.75" thickTop="1" x14ac:dyDescent="0.25">
      <c r="A15" s="322">
        <v>45659</v>
      </c>
      <c r="B15" s="95"/>
      <c r="C15" s="6" t="str">
        <f t="shared" ref="C15" si="0">LEFT(E15,5)</f>
        <v>SALDO</v>
      </c>
      <c r="D15" s="20"/>
      <c r="E15" s="96" t="s">
        <v>29</v>
      </c>
      <c r="F15" s="22">
        <f>F11</f>
        <v>52884578.82</v>
      </c>
      <c r="G15" s="97"/>
      <c r="H15" s="457">
        <f>H11</f>
        <v>34301637.649999999</v>
      </c>
      <c r="I15" s="97"/>
      <c r="J15" s="457">
        <f>H15-I15</f>
        <v>34301637.649999999</v>
      </c>
      <c r="K15" s="613">
        <f>K11</f>
        <v>18582941.170000002</v>
      </c>
      <c r="L15" s="21"/>
      <c r="M15" s="457">
        <f>K15-L15</f>
        <v>18582941.170000002</v>
      </c>
      <c r="N15" s="97"/>
      <c r="O15" s="317">
        <f>O11</f>
        <v>0</v>
      </c>
      <c r="Q15" s="317">
        <f>O15-P15</f>
        <v>0</v>
      </c>
    </row>
    <row r="16" spans="1:17" x14ac:dyDescent="0.25">
      <c r="A16" s="657" t="s">
        <v>762</v>
      </c>
      <c r="B16" s="98"/>
      <c r="C16" s="259"/>
      <c r="D16" s="260"/>
      <c r="E16" s="263"/>
      <c r="F16" s="256"/>
      <c r="G16" s="264"/>
      <c r="H16" s="265"/>
      <c r="I16" s="264"/>
      <c r="J16" s="459">
        <f>J15+H16-I16</f>
        <v>34301637.649999999</v>
      </c>
      <c r="K16" s="615"/>
      <c r="L16" s="257"/>
      <c r="M16" s="459">
        <f>M15+K16-L16</f>
        <v>18582941.170000002</v>
      </c>
      <c r="N16" s="257"/>
      <c r="Q16" s="317" t="e">
        <f>#REF!+O16-P16</f>
        <v>#REF!</v>
      </c>
    </row>
    <row r="17" spans="1:17" x14ac:dyDescent="0.25">
      <c r="A17" s="321"/>
      <c r="B17" s="87"/>
      <c r="C17" s="87"/>
      <c r="D17" s="86"/>
      <c r="E17" s="88" t="s">
        <v>63</v>
      </c>
      <c r="F17" s="90">
        <f>SUM(F16:F16)</f>
        <v>0</v>
      </c>
      <c r="G17" s="90">
        <f>SUM(G16:G16)</f>
        <v>0</v>
      </c>
      <c r="H17" s="90">
        <f>SUM(H16:H16)</f>
        <v>0</v>
      </c>
      <c r="I17" s="90">
        <f>SUM(I16:I16)</f>
        <v>0</v>
      </c>
      <c r="J17" s="455"/>
      <c r="K17" s="611">
        <f>SUM(K16:K16)</f>
        <v>0</v>
      </c>
      <c r="L17" s="90">
        <f>SUM(L16:L16)</f>
        <v>0</v>
      </c>
      <c r="M17" s="455"/>
      <c r="N17" s="90"/>
      <c r="O17" s="90">
        <f>SUM(O16:O16)</f>
        <v>0</v>
      </c>
      <c r="P17" s="90">
        <f>SUM(P16:P16)</f>
        <v>0</v>
      </c>
      <c r="Q17" s="90"/>
    </row>
    <row r="18" spans="1:17" x14ac:dyDescent="0.25">
      <c r="A18" s="321"/>
      <c r="B18" s="87"/>
      <c r="C18" s="87"/>
      <c r="D18" s="86"/>
      <c r="E18" s="88" t="s">
        <v>64</v>
      </c>
      <c r="F18" s="89">
        <f>F17+F15</f>
        <v>52884578.82</v>
      </c>
      <c r="G18" s="89">
        <f>G17+G15</f>
        <v>0</v>
      </c>
      <c r="H18" s="456">
        <f>H17+H15</f>
        <v>34301637.649999999</v>
      </c>
      <c r="I18" s="89">
        <f>I17+I15</f>
        <v>0</v>
      </c>
      <c r="J18" s="455"/>
      <c r="K18" s="456">
        <f>K17+K15</f>
        <v>18582941.170000002</v>
      </c>
      <c r="L18" s="89">
        <f>L17+L15</f>
        <v>0</v>
      </c>
      <c r="M18" s="455"/>
      <c r="N18" s="90"/>
      <c r="O18" s="89">
        <f>O17+O15</f>
        <v>0</v>
      </c>
      <c r="P18" s="89">
        <f>P17+P15</f>
        <v>0</v>
      </c>
      <c r="Q18" s="90"/>
    </row>
    <row r="19" spans="1:17" x14ac:dyDescent="0.25">
      <c r="A19" s="321"/>
      <c r="B19" s="87"/>
      <c r="C19" s="87"/>
      <c r="D19" s="86"/>
      <c r="E19" s="88" t="s">
        <v>65</v>
      </c>
      <c r="F19" s="89">
        <f>F18-G18</f>
        <v>52884578.82</v>
      </c>
      <c r="G19" s="86"/>
      <c r="H19" s="456">
        <f>H18-I18</f>
        <v>34301637.649999999</v>
      </c>
      <c r="I19" s="86"/>
      <c r="J19" s="455"/>
      <c r="K19" s="456">
        <f>K18-L18</f>
        <v>18582941.170000002</v>
      </c>
      <c r="L19" s="86"/>
      <c r="M19" s="455"/>
      <c r="N19" s="86"/>
      <c r="O19" s="89">
        <f>O18-P18</f>
        <v>0</v>
      </c>
      <c r="P19" s="86"/>
      <c r="Q19" s="90"/>
    </row>
    <row r="20" spans="1:17" x14ac:dyDescent="0.25">
      <c r="F20" s="108"/>
      <c r="H20" s="268">
        <f>(H19+K19)-F19</f>
        <v>0</v>
      </c>
    </row>
    <row r="21" spans="1:17" x14ac:dyDescent="0.25">
      <c r="A21" s="885" t="s">
        <v>19</v>
      </c>
      <c r="B21" s="893" t="s">
        <v>9</v>
      </c>
      <c r="C21" s="305"/>
      <c r="D21" s="307"/>
      <c r="E21" s="891" t="s">
        <v>20</v>
      </c>
      <c r="F21" s="888" t="s">
        <v>11</v>
      </c>
      <c r="G21" s="885" t="s">
        <v>12</v>
      </c>
      <c r="H21" s="885" t="s">
        <v>0</v>
      </c>
      <c r="I21" s="885"/>
      <c r="J21" s="885"/>
      <c r="K21" s="885" t="s">
        <v>1</v>
      </c>
      <c r="L21" s="885"/>
      <c r="M21" s="885"/>
      <c r="N21" s="307"/>
      <c r="O21" s="908" t="s">
        <v>411</v>
      </c>
      <c r="P21" s="908"/>
      <c r="Q21" s="908"/>
    </row>
    <row r="22" spans="1:17" ht="15.75" thickBot="1" x14ac:dyDescent="0.3">
      <c r="A22" s="898"/>
      <c r="B22" s="902"/>
      <c r="C22" s="306"/>
      <c r="D22" s="310"/>
      <c r="E22" s="901"/>
      <c r="F22" s="889"/>
      <c r="G22" s="898"/>
      <c r="H22" s="310" t="s">
        <v>11</v>
      </c>
      <c r="I22" s="310" t="s">
        <v>12</v>
      </c>
      <c r="J22" s="567" t="s">
        <v>21</v>
      </c>
      <c r="K22" s="612" t="s">
        <v>11</v>
      </c>
      <c r="L22" s="310" t="s">
        <v>12</v>
      </c>
      <c r="M22" s="567" t="s">
        <v>21</v>
      </c>
      <c r="N22" s="310"/>
      <c r="O22" s="318" t="s">
        <v>11</v>
      </c>
      <c r="P22" s="318" t="s">
        <v>12</v>
      </c>
      <c r="Q22" s="318" t="s">
        <v>21</v>
      </c>
    </row>
    <row r="23" spans="1:17" ht="15.75" thickTop="1" x14ac:dyDescent="0.25">
      <c r="A23" s="322">
        <v>45660</v>
      </c>
      <c r="B23" s="95"/>
      <c r="C23" s="6" t="str">
        <f t="shared" ref="C23" si="1">LEFT(E23,5)</f>
        <v>SALDO</v>
      </c>
      <c r="D23" s="20"/>
      <c r="E23" s="96" t="s">
        <v>29</v>
      </c>
      <c r="F23" s="22">
        <f>F19</f>
        <v>52884578.82</v>
      </c>
      <c r="G23" s="97"/>
      <c r="H23" s="457">
        <f>H19</f>
        <v>34301637.649999999</v>
      </c>
      <c r="I23" s="97"/>
      <c r="J23" s="457">
        <f>H23-I23</f>
        <v>34301637.649999999</v>
      </c>
      <c r="K23" s="613">
        <f>K19</f>
        <v>18582941.170000002</v>
      </c>
      <c r="L23" s="21"/>
      <c r="M23" s="457">
        <f>K23-L23</f>
        <v>18582941.170000002</v>
      </c>
      <c r="N23" s="97"/>
      <c r="O23" s="317">
        <f>O19</f>
        <v>0</v>
      </c>
      <c r="Q23" s="317">
        <f>O23-P23</f>
        <v>0</v>
      </c>
    </row>
    <row r="24" spans="1:17" x14ac:dyDescent="0.25">
      <c r="A24" s="657" t="s">
        <v>866</v>
      </c>
      <c r="B24" s="98"/>
      <c r="C24" s="259"/>
      <c r="D24" s="260"/>
      <c r="E24" s="263"/>
      <c r="F24" s="256"/>
      <c r="G24" s="264"/>
      <c r="H24" s="937"/>
      <c r="I24" s="264"/>
      <c r="J24" s="459">
        <f>J23+H24-I24</f>
        <v>34301637.649999999</v>
      </c>
      <c r="K24" s="615"/>
      <c r="L24" s="257"/>
      <c r="M24" s="459">
        <f>M23+K24-L24</f>
        <v>18582941.170000002</v>
      </c>
      <c r="N24" s="257"/>
      <c r="Q24" s="317" t="e">
        <f>#REF!+O24-P24</f>
        <v>#REF!</v>
      </c>
    </row>
    <row r="25" spans="1:17" x14ac:dyDescent="0.25">
      <c r="A25" s="321"/>
      <c r="B25" s="87"/>
      <c r="C25" s="87"/>
      <c r="D25" s="86"/>
      <c r="E25" s="88" t="s">
        <v>63</v>
      </c>
      <c r="F25" s="90">
        <f>SUM(F24:F24)</f>
        <v>0</v>
      </c>
      <c r="G25" s="90">
        <f>SUM(G24:G24)</f>
        <v>0</v>
      </c>
      <c r="H25" s="455">
        <f>SUM(H24:H24)</f>
        <v>0</v>
      </c>
      <c r="I25" s="455">
        <f>SUM(I24:I24)</f>
        <v>0</v>
      </c>
      <c r="J25" s="455"/>
      <c r="K25" s="611">
        <f>SUM(K24:K24)</f>
        <v>0</v>
      </c>
      <c r="L25" s="90">
        <f>SUM(L24:L24)</f>
        <v>0</v>
      </c>
      <c r="M25" s="455"/>
      <c r="N25" s="90"/>
      <c r="O25" s="90">
        <f>SUM(O24:O24)</f>
        <v>0</v>
      </c>
      <c r="P25" s="90">
        <f>SUM(P24:P24)</f>
        <v>0</v>
      </c>
      <c r="Q25" s="90"/>
    </row>
    <row r="26" spans="1:17" x14ac:dyDescent="0.25">
      <c r="A26" s="321"/>
      <c r="B26" s="87"/>
      <c r="C26" s="87"/>
      <c r="D26" s="86"/>
      <c r="E26" s="88" t="s">
        <v>64</v>
      </c>
      <c r="F26" s="89">
        <f>F25+F23</f>
        <v>52884578.82</v>
      </c>
      <c r="G26" s="89">
        <f>G25+G23</f>
        <v>0</v>
      </c>
      <c r="H26" s="938">
        <f>H25+H23</f>
        <v>34301637.649999999</v>
      </c>
      <c r="I26" s="456">
        <f>I25+I23</f>
        <v>0</v>
      </c>
      <c r="J26" s="455"/>
      <c r="K26" s="456">
        <f>K25+K23</f>
        <v>18582941.170000002</v>
      </c>
      <c r="L26" s="89">
        <f>L25+L23</f>
        <v>0</v>
      </c>
      <c r="M26" s="455"/>
      <c r="N26" s="90"/>
      <c r="O26" s="89">
        <f>O25+O23</f>
        <v>0</v>
      </c>
      <c r="P26" s="89">
        <f>P25+P23</f>
        <v>0</v>
      </c>
      <c r="Q26" s="90"/>
    </row>
    <row r="27" spans="1:17" x14ac:dyDescent="0.25">
      <c r="A27" s="321"/>
      <c r="B27" s="87"/>
      <c r="C27" s="87"/>
      <c r="D27" s="86"/>
      <c r="E27" s="88" t="s">
        <v>65</v>
      </c>
      <c r="F27" s="89">
        <f>F26-G26</f>
        <v>52884578.82</v>
      </c>
      <c r="G27" s="86"/>
      <c r="H27" s="938">
        <f>H26-I26</f>
        <v>34301637.649999999</v>
      </c>
      <c r="I27" s="86"/>
      <c r="J27" s="455"/>
      <c r="K27" s="456">
        <f>K26-L26</f>
        <v>18582941.170000002</v>
      </c>
      <c r="L27" s="86"/>
      <c r="M27" s="455"/>
      <c r="N27" s="86"/>
      <c r="O27" s="89">
        <f>O26-P26</f>
        <v>0</v>
      </c>
      <c r="P27" s="86"/>
      <c r="Q27" s="90"/>
    </row>
    <row r="28" spans="1:17" x14ac:dyDescent="0.25">
      <c r="A28" s="669"/>
      <c r="B28" s="670"/>
      <c r="C28" s="671"/>
      <c r="D28" s="672"/>
      <c r="E28" s="673"/>
      <c r="F28" s="674"/>
      <c r="G28" s="675"/>
      <c r="H28" s="676"/>
      <c r="I28" s="675"/>
      <c r="J28" s="676"/>
      <c r="K28" s="677"/>
      <c r="L28" s="678"/>
      <c r="M28" s="679"/>
      <c r="N28" s="668"/>
    </row>
    <row r="29" spans="1:17" x14ac:dyDescent="0.25">
      <c r="A29" s="885" t="s">
        <v>19</v>
      </c>
      <c r="B29" s="893" t="s">
        <v>9</v>
      </c>
      <c r="C29" s="305"/>
      <c r="D29" s="307"/>
      <c r="E29" s="891" t="s">
        <v>20</v>
      </c>
      <c r="F29" s="888" t="s">
        <v>11</v>
      </c>
      <c r="G29" s="885" t="s">
        <v>12</v>
      </c>
      <c r="H29" s="885" t="s">
        <v>0</v>
      </c>
      <c r="I29" s="885"/>
      <c r="J29" s="885"/>
      <c r="K29" s="885" t="s">
        <v>1</v>
      </c>
      <c r="L29" s="885"/>
      <c r="M29" s="885"/>
      <c r="N29" s="307"/>
      <c r="O29" s="908" t="s">
        <v>411</v>
      </c>
      <c r="P29" s="908"/>
      <c r="Q29" s="908"/>
    </row>
    <row r="30" spans="1:17" ht="15.75" thickBot="1" x14ac:dyDescent="0.3">
      <c r="A30" s="898"/>
      <c r="B30" s="902"/>
      <c r="C30" s="306"/>
      <c r="D30" s="310"/>
      <c r="E30" s="901"/>
      <c r="F30" s="889"/>
      <c r="G30" s="898"/>
      <c r="H30" s="310" t="s">
        <v>11</v>
      </c>
      <c r="I30" s="310" t="s">
        <v>12</v>
      </c>
      <c r="J30" s="567" t="s">
        <v>21</v>
      </c>
      <c r="K30" s="612" t="s">
        <v>11</v>
      </c>
      <c r="L30" s="310" t="s">
        <v>12</v>
      </c>
      <c r="M30" s="567" t="s">
        <v>21</v>
      </c>
      <c r="N30" s="310"/>
      <c r="O30" s="318" t="s">
        <v>11</v>
      </c>
      <c r="P30" s="318" t="s">
        <v>12</v>
      </c>
      <c r="Q30" s="318" t="s">
        <v>21</v>
      </c>
    </row>
    <row r="31" spans="1:17" ht="15.75" thickTop="1" x14ac:dyDescent="0.25">
      <c r="A31" s="322">
        <v>45661</v>
      </c>
      <c r="B31" s="95"/>
      <c r="C31" s="6" t="str">
        <f t="shared" ref="C31" si="2">LEFT(E31,5)</f>
        <v>SALDO</v>
      </c>
      <c r="D31" s="20"/>
      <c r="E31" s="96" t="s">
        <v>29</v>
      </c>
      <c r="F31" s="22">
        <f>F27</f>
        <v>52884578.82</v>
      </c>
      <c r="G31" s="97"/>
      <c r="H31" s="457">
        <f>H27</f>
        <v>34301637.649999999</v>
      </c>
      <c r="I31" s="97"/>
      <c r="J31" s="457">
        <f>H31-I31</f>
        <v>34301637.649999999</v>
      </c>
      <c r="K31" s="613">
        <f>K27</f>
        <v>18582941.170000002</v>
      </c>
      <c r="L31" s="21"/>
      <c r="M31" s="457">
        <f>K31-L31</f>
        <v>18582941.170000002</v>
      </c>
      <c r="N31" s="97"/>
      <c r="O31" s="97">
        <f>O27</f>
        <v>0</v>
      </c>
      <c r="Q31" s="317">
        <f>O31-P31</f>
        <v>0</v>
      </c>
    </row>
    <row r="32" spans="1:17" x14ac:dyDescent="0.25">
      <c r="A32" s="657" t="s">
        <v>867</v>
      </c>
      <c r="B32" s="98"/>
      <c r="C32" s="259"/>
      <c r="D32" s="260"/>
      <c r="E32" s="263"/>
      <c r="F32" s="256"/>
      <c r="G32" s="264"/>
      <c r="H32" s="937"/>
      <c r="I32" s="264"/>
      <c r="J32" s="459">
        <f>J31+H32-I32</f>
        <v>34301637.649999999</v>
      </c>
      <c r="K32" s="615"/>
      <c r="L32" s="257"/>
      <c r="M32" s="459">
        <f>M31+K32-L32</f>
        <v>18582941.170000002</v>
      </c>
      <c r="N32" s="257"/>
      <c r="Q32" s="317" t="e">
        <f>#REF!+O32-P32</f>
        <v>#REF!</v>
      </c>
    </row>
    <row r="33" spans="1:17" x14ac:dyDescent="0.25">
      <c r="A33" s="321"/>
      <c r="B33" s="87"/>
      <c r="C33" s="87"/>
      <c r="D33" s="86"/>
      <c r="E33" s="88" t="s">
        <v>63</v>
      </c>
      <c r="F33" s="90">
        <f>SUM(F32:F32)</f>
        <v>0</v>
      </c>
      <c r="G33" s="90">
        <f>SUM(G32:G32)</f>
        <v>0</v>
      </c>
      <c r="H33" s="455">
        <f>SUM(H32:H32)</f>
        <v>0</v>
      </c>
      <c r="I33" s="90">
        <f>SUM(I32:I32)</f>
        <v>0</v>
      </c>
      <c r="J33" s="455"/>
      <c r="K33" s="611">
        <f>SUM(K32:K32)</f>
        <v>0</v>
      </c>
      <c r="L33" s="90">
        <f>SUM(L32:L32)</f>
        <v>0</v>
      </c>
      <c r="M33" s="455"/>
      <c r="N33" s="90"/>
      <c r="O33" s="90">
        <f>SUM(O32:O32)</f>
        <v>0</v>
      </c>
      <c r="P33" s="90">
        <f>SUM(P32:P32)</f>
        <v>0</v>
      </c>
      <c r="Q33" s="90"/>
    </row>
    <row r="34" spans="1:17" x14ac:dyDescent="0.25">
      <c r="A34" s="321"/>
      <c r="B34" s="87"/>
      <c r="C34" s="87"/>
      <c r="D34" s="86"/>
      <c r="E34" s="88" t="s">
        <v>64</v>
      </c>
      <c r="F34" s="89">
        <f>F33+F31</f>
        <v>52884578.82</v>
      </c>
      <c r="G34" s="89">
        <f>G33+G31</f>
        <v>0</v>
      </c>
      <c r="H34" s="938">
        <f>H33+H31</f>
        <v>34301637.649999999</v>
      </c>
      <c r="I34" s="89">
        <f>I33+I31</f>
        <v>0</v>
      </c>
      <c r="J34" s="455"/>
      <c r="K34" s="456">
        <f>K33+K31</f>
        <v>18582941.170000002</v>
      </c>
      <c r="L34" s="89">
        <f>L33+L31</f>
        <v>0</v>
      </c>
      <c r="M34" s="455"/>
      <c r="N34" s="90"/>
      <c r="O34" s="89">
        <f>O33+O31</f>
        <v>0</v>
      </c>
      <c r="P34" s="89">
        <f>P33+P31</f>
        <v>0</v>
      </c>
      <c r="Q34" s="90"/>
    </row>
    <row r="35" spans="1:17" x14ac:dyDescent="0.25">
      <c r="A35" s="321"/>
      <c r="B35" s="87"/>
      <c r="C35" s="87"/>
      <c r="D35" s="86"/>
      <c r="E35" s="88" t="s">
        <v>65</v>
      </c>
      <c r="F35" s="89">
        <f>F34-G34</f>
        <v>52884578.82</v>
      </c>
      <c r="G35" s="86"/>
      <c r="H35" s="938">
        <f>H34-I34</f>
        <v>34301637.649999999</v>
      </c>
      <c r="I35" s="86"/>
      <c r="J35" s="455"/>
      <c r="K35" s="456">
        <f>K34-L34</f>
        <v>18582941.170000002</v>
      </c>
      <c r="L35" s="86"/>
      <c r="M35" s="455"/>
      <c r="N35" s="86"/>
      <c r="O35" s="89">
        <f>O34-P34</f>
        <v>0</v>
      </c>
      <c r="P35" s="86"/>
      <c r="Q35" s="90"/>
    </row>
    <row r="36" spans="1:17" x14ac:dyDescent="0.25">
      <c r="A36" s="692"/>
      <c r="B36" s="670"/>
      <c r="C36" s="671"/>
      <c r="D36" s="672"/>
      <c r="E36" s="673"/>
      <c r="F36" s="674"/>
      <c r="G36" s="675"/>
      <c r="H36" s="675"/>
      <c r="I36" s="675"/>
      <c r="J36" s="676"/>
      <c r="K36" s="677"/>
      <c r="L36" s="678"/>
      <c r="M36" s="679"/>
      <c r="N36" s="668"/>
    </row>
    <row r="37" spans="1:17" x14ac:dyDescent="0.25">
      <c r="A37" s="693"/>
      <c r="B37" s="681"/>
      <c r="C37" s="682"/>
      <c r="D37" s="683"/>
      <c r="E37" s="684"/>
      <c r="F37" s="685"/>
      <c r="G37" s="686"/>
      <c r="H37" s="686"/>
      <c r="I37" s="686"/>
      <c r="J37" s="687"/>
      <c r="K37" s="688"/>
      <c r="L37" s="689"/>
      <c r="M37" s="690"/>
      <c r="N37" s="668"/>
    </row>
    <row r="38" spans="1:17" x14ac:dyDescent="0.25">
      <c r="A38" s="885" t="s">
        <v>19</v>
      </c>
      <c r="B38" s="893" t="s">
        <v>9</v>
      </c>
      <c r="C38" s="305"/>
      <c r="D38" s="307"/>
      <c r="E38" s="891" t="s">
        <v>20</v>
      </c>
      <c r="F38" s="888" t="s">
        <v>11</v>
      </c>
      <c r="G38" s="885" t="s">
        <v>12</v>
      </c>
      <c r="H38" s="885" t="s">
        <v>0</v>
      </c>
      <c r="I38" s="885"/>
      <c r="J38" s="885"/>
      <c r="K38" s="885" t="s">
        <v>1</v>
      </c>
      <c r="L38" s="885"/>
      <c r="M38" s="885"/>
      <c r="N38" s="307"/>
      <c r="O38" s="908" t="s">
        <v>411</v>
      </c>
      <c r="P38" s="908"/>
      <c r="Q38" s="908"/>
    </row>
    <row r="39" spans="1:17" ht="15.75" thickBot="1" x14ac:dyDescent="0.3">
      <c r="A39" s="898"/>
      <c r="B39" s="902"/>
      <c r="C39" s="306"/>
      <c r="D39" s="310"/>
      <c r="E39" s="901"/>
      <c r="F39" s="889"/>
      <c r="G39" s="898"/>
      <c r="H39" s="310" t="s">
        <v>11</v>
      </c>
      <c r="I39" s="310" t="s">
        <v>12</v>
      </c>
      <c r="J39" s="567" t="s">
        <v>21</v>
      </c>
      <c r="K39" s="612" t="s">
        <v>11</v>
      </c>
      <c r="L39" s="310" t="s">
        <v>12</v>
      </c>
      <c r="M39" s="567" t="s">
        <v>21</v>
      </c>
      <c r="N39" s="310"/>
      <c r="O39" s="318" t="s">
        <v>11</v>
      </c>
      <c r="P39" s="318" t="s">
        <v>12</v>
      </c>
      <c r="Q39" s="318" t="s">
        <v>21</v>
      </c>
    </row>
    <row r="40" spans="1:17" ht="15.75" thickTop="1" x14ac:dyDescent="0.25">
      <c r="A40" s="322">
        <v>45662</v>
      </c>
      <c r="B40" s="95"/>
      <c r="C40" s="6" t="str">
        <f t="shared" ref="C40" si="3">LEFT(E40,5)</f>
        <v>SALDO</v>
      </c>
      <c r="D40" s="20"/>
      <c r="E40" s="96" t="s">
        <v>29</v>
      </c>
      <c r="F40" s="317">
        <f>F35</f>
        <v>52884578.82</v>
      </c>
      <c r="G40" s="97"/>
      <c r="H40" s="317">
        <f>H35</f>
        <v>34301637.649999999</v>
      </c>
      <c r="I40" s="97"/>
      <c r="J40" s="457">
        <f>H40-I40</f>
        <v>34301637.649999999</v>
      </c>
      <c r="K40" s="617">
        <f>K35</f>
        <v>18582941.170000002</v>
      </c>
      <c r="L40" s="21"/>
      <c r="M40" s="457">
        <f>K40-L40</f>
        <v>18582941.170000002</v>
      </c>
      <c r="N40" s="97"/>
      <c r="O40" s="317">
        <f>O35</f>
        <v>0</v>
      </c>
      <c r="Q40" s="317">
        <f>O40-P40</f>
        <v>0</v>
      </c>
    </row>
    <row r="41" spans="1:17" s="406" customFormat="1" ht="30" x14ac:dyDescent="0.25">
      <c r="A41" s="320">
        <v>45874</v>
      </c>
      <c r="B41" s="10">
        <v>5106</v>
      </c>
      <c r="C41" s="7"/>
      <c r="D41" s="12"/>
      <c r="E41" s="106" t="s">
        <v>883</v>
      </c>
      <c r="F41" s="11"/>
      <c r="G41" s="80">
        <v>600000</v>
      </c>
      <c r="H41" s="11"/>
      <c r="I41" s="80">
        <v>600000</v>
      </c>
      <c r="J41" s="817">
        <f>J40+H41-I41</f>
        <v>33701637.649999999</v>
      </c>
      <c r="K41" s="818"/>
      <c r="L41" s="80"/>
      <c r="M41" s="817">
        <f t="shared" ref="M41" si="4">M40+K41-L41</f>
        <v>18582941.170000002</v>
      </c>
      <c r="N41" s="10"/>
      <c r="O41" s="819"/>
      <c r="P41" s="819"/>
      <c r="Q41" s="819" t="e">
        <f>#REF!+O41-P41</f>
        <v>#REF!</v>
      </c>
    </row>
    <row r="42" spans="1:17" x14ac:dyDescent="0.25">
      <c r="A42" s="656" t="s">
        <v>868</v>
      </c>
      <c r="B42" s="98"/>
      <c r="C42" s="259"/>
      <c r="D42" s="260"/>
      <c r="E42" s="104"/>
      <c r="F42" s="5"/>
      <c r="G42" s="99"/>
      <c r="H42" s="5"/>
      <c r="I42" s="99"/>
      <c r="J42" s="568">
        <f>J41+H42-I42</f>
        <v>33701637.649999999</v>
      </c>
      <c r="K42" s="658"/>
      <c r="L42" s="257"/>
      <c r="M42" s="568">
        <f>M41+K42-L42</f>
        <v>18582941.170000002</v>
      </c>
      <c r="N42" s="257"/>
      <c r="Q42" s="317" t="e">
        <f>Q41+O42-P42</f>
        <v>#REF!</v>
      </c>
    </row>
    <row r="43" spans="1:17" x14ac:dyDescent="0.25">
      <c r="A43" s="321"/>
      <c r="B43" s="87"/>
      <c r="C43" s="87"/>
      <c r="D43" s="86"/>
      <c r="E43" s="88" t="s">
        <v>63</v>
      </c>
      <c r="F43" s="90">
        <f>SUM(F41:F42)</f>
        <v>0</v>
      </c>
      <c r="G43" s="90">
        <f>SUM(G41:G42)</f>
        <v>600000</v>
      </c>
      <c r="H43" s="455">
        <f>SUM(H41:H42)</f>
        <v>0</v>
      </c>
      <c r="I43" s="90">
        <f>SUM(I41:I42)</f>
        <v>600000</v>
      </c>
      <c r="J43" s="455"/>
      <c r="K43" s="611">
        <f>SUM(K41:K42)</f>
        <v>0</v>
      </c>
      <c r="L43" s="90">
        <f>SUM(L41:L42)</f>
        <v>0</v>
      </c>
      <c r="M43" s="455"/>
      <c r="N43" s="90"/>
      <c r="O43" s="90">
        <f>SUM(O41:O42)</f>
        <v>0</v>
      </c>
      <c r="P43" s="90">
        <f>SUM(P41:P42)</f>
        <v>0</v>
      </c>
      <c r="Q43" s="90"/>
    </row>
    <row r="44" spans="1:17" x14ac:dyDescent="0.25">
      <c r="A44" s="321"/>
      <c r="B44" s="87"/>
      <c r="C44" s="87"/>
      <c r="D44" s="86"/>
      <c r="E44" s="88" t="s">
        <v>64</v>
      </c>
      <c r="F44" s="89">
        <f>F43+F40</f>
        <v>52884578.82</v>
      </c>
      <c r="G44" s="89">
        <f>G43+G40</f>
        <v>600000</v>
      </c>
      <c r="H44" s="938">
        <f>H43+H40</f>
        <v>34301637.649999999</v>
      </c>
      <c r="I44" s="89">
        <f>I43+I40</f>
        <v>600000</v>
      </c>
      <c r="J44" s="455"/>
      <c r="K44" s="456">
        <f>K43+K40</f>
        <v>18582941.170000002</v>
      </c>
      <c r="L44" s="89">
        <f>L43+L40</f>
        <v>0</v>
      </c>
      <c r="M44" s="455"/>
      <c r="N44" s="90"/>
      <c r="O44" s="89">
        <f>O43+O40</f>
        <v>0</v>
      </c>
      <c r="P44" s="89">
        <f>P43+P40</f>
        <v>0</v>
      </c>
      <c r="Q44" s="90"/>
    </row>
    <row r="45" spans="1:17" x14ac:dyDescent="0.25">
      <c r="A45" s="321"/>
      <c r="B45" s="87"/>
      <c r="C45" s="87"/>
      <c r="D45" s="86"/>
      <c r="E45" s="88" t="s">
        <v>65</v>
      </c>
      <c r="F45" s="89">
        <f>F44-G44</f>
        <v>52284578.82</v>
      </c>
      <c r="G45" s="86"/>
      <c r="H45" s="938">
        <f>H44-I44</f>
        <v>33701637.649999999</v>
      </c>
      <c r="I45" s="86"/>
      <c r="J45" s="455"/>
      <c r="K45" s="456">
        <f>K44-L44</f>
        <v>18582941.170000002</v>
      </c>
      <c r="L45" s="86"/>
      <c r="M45" s="455"/>
      <c r="N45" s="86"/>
      <c r="O45" s="89">
        <f>O44-P44</f>
        <v>0</v>
      </c>
      <c r="P45" s="86"/>
      <c r="Q45" s="90"/>
    </row>
    <row r="46" spans="1:17" x14ac:dyDescent="0.25">
      <c r="A46" s="692"/>
      <c r="B46" s="670"/>
      <c r="C46" s="671"/>
      <c r="D46" s="672"/>
      <c r="E46" s="673"/>
      <c r="F46" s="674"/>
      <c r="G46" s="675"/>
      <c r="H46" s="675"/>
      <c r="I46" s="675"/>
      <c r="J46" s="676"/>
      <c r="K46" s="677"/>
      <c r="L46" s="678"/>
      <c r="M46" s="679"/>
      <c r="N46" s="668"/>
    </row>
    <row r="47" spans="1:17" x14ac:dyDescent="0.25">
      <c r="A47" s="693"/>
      <c r="B47" s="681"/>
      <c r="C47" s="682"/>
      <c r="D47" s="683"/>
      <c r="E47" s="684"/>
      <c r="F47" s="685"/>
      <c r="G47" s="686"/>
      <c r="H47" s="686"/>
      <c r="I47" s="686"/>
      <c r="J47" s="687"/>
      <c r="K47" s="688"/>
      <c r="L47" s="689"/>
      <c r="M47" s="690"/>
      <c r="N47" s="668"/>
    </row>
    <row r="48" spans="1:17" x14ac:dyDescent="0.25">
      <c r="A48" s="885" t="s">
        <v>19</v>
      </c>
      <c r="B48" s="893" t="s">
        <v>9</v>
      </c>
      <c r="C48" s="305"/>
      <c r="D48" s="307"/>
      <c r="E48" s="891" t="s">
        <v>20</v>
      </c>
      <c r="F48" s="888" t="s">
        <v>11</v>
      </c>
      <c r="G48" s="885" t="s">
        <v>12</v>
      </c>
      <c r="H48" s="885" t="s">
        <v>0</v>
      </c>
      <c r="I48" s="885"/>
      <c r="J48" s="885"/>
      <c r="K48" s="885" t="s">
        <v>1</v>
      </c>
      <c r="L48" s="885"/>
      <c r="M48" s="885"/>
      <c r="N48" s="307"/>
      <c r="O48" s="908" t="s">
        <v>411</v>
      </c>
      <c r="P48" s="908"/>
      <c r="Q48" s="908"/>
    </row>
    <row r="49" spans="1:17" ht="15.75" thickBot="1" x14ac:dyDescent="0.3">
      <c r="A49" s="898"/>
      <c r="B49" s="902"/>
      <c r="C49" s="306"/>
      <c r="D49" s="310"/>
      <c r="E49" s="901"/>
      <c r="F49" s="889"/>
      <c r="G49" s="898"/>
      <c r="H49" s="310" t="s">
        <v>11</v>
      </c>
      <c r="I49" s="310" t="s">
        <v>12</v>
      </c>
      <c r="J49" s="567" t="s">
        <v>21</v>
      </c>
      <c r="K49" s="612" t="s">
        <v>11</v>
      </c>
      <c r="L49" s="310" t="s">
        <v>12</v>
      </c>
      <c r="M49" s="567" t="s">
        <v>21</v>
      </c>
      <c r="N49" s="310"/>
      <c r="O49" s="318" t="s">
        <v>11</v>
      </c>
      <c r="P49" s="318" t="s">
        <v>12</v>
      </c>
      <c r="Q49" s="318" t="s">
        <v>21</v>
      </c>
    </row>
    <row r="50" spans="1:17" ht="15.75" thickTop="1" x14ac:dyDescent="0.25">
      <c r="A50" s="322">
        <v>45663</v>
      </c>
      <c r="B50" s="95"/>
      <c r="C50" s="6" t="str">
        <f t="shared" ref="C50" si="5">LEFT(E50,5)</f>
        <v>SALDO</v>
      </c>
      <c r="D50" s="20"/>
      <c r="E50" s="96" t="s">
        <v>29</v>
      </c>
      <c r="F50" s="22">
        <f>F45</f>
        <v>52284578.82</v>
      </c>
      <c r="G50" s="97"/>
      <c r="H50" s="457">
        <f>H45</f>
        <v>33701637.649999999</v>
      </c>
      <c r="I50" s="97"/>
      <c r="J50" s="457">
        <f>H50-I50</f>
        <v>33701637.649999999</v>
      </c>
      <c r="K50" s="613">
        <f>K45</f>
        <v>18582941.170000002</v>
      </c>
      <c r="L50" s="21"/>
      <c r="M50" s="457">
        <f>K50-L50</f>
        <v>18582941.170000002</v>
      </c>
      <c r="N50" s="97"/>
      <c r="O50" s="97">
        <f>O45</f>
        <v>0</v>
      </c>
      <c r="Q50" s="317">
        <f>O50-P50</f>
        <v>0</v>
      </c>
    </row>
    <row r="51" spans="1:17" x14ac:dyDescent="0.25">
      <c r="A51" s="653"/>
      <c r="B51" s="98"/>
      <c r="C51" s="6"/>
      <c r="D51" s="98"/>
      <c r="E51" s="654"/>
      <c r="F51" s="5"/>
      <c r="G51" s="99"/>
      <c r="H51" s="939"/>
      <c r="I51" s="99"/>
      <c r="J51" s="568">
        <f>J50+H51-I51</f>
        <v>33701637.649999999</v>
      </c>
      <c r="K51" s="614"/>
      <c r="L51" s="98"/>
      <c r="M51" s="568">
        <f>M50+K51-L51</f>
        <v>18582941.170000002</v>
      </c>
      <c r="N51" s="98"/>
      <c r="Q51" s="317">
        <f>Q50+O51-P51</f>
        <v>0</v>
      </c>
    </row>
    <row r="52" spans="1:17" x14ac:dyDescent="0.25">
      <c r="A52" s="657"/>
      <c r="B52" s="98"/>
      <c r="C52" s="259"/>
      <c r="D52" s="260"/>
      <c r="E52" s="263"/>
      <c r="F52" s="256"/>
      <c r="G52" s="264"/>
      <c r="H52" s="937"/>
      <c r="I52" s="264"/>
      <c r="J52" s="568">
        <f t="shared" ref="J52" si="6">J51+H52-I52</f>
        <v>33701637.649999999</v>
      </c>
      <c r="K52" s="615"/>
      <c r="L52" s="257"/>
      <c r="M52" s="568">
        <f>M51+K52-L52</f>
        <v>18582941.170000002</v>
      </c>
      <c r="N52" s="257"/>
      <c r="Q52" s="317" t="e">
        <f>#REF!+O52-P52</f>
        <v>#REF!</v>
      </c>
    </row>
    <row r="53" spans="1:17" x14ac:dyDescent="0.25">
      <c r="A53" s="321"/>
      <c r="B53" s="87"/>
      <c r="C53" s="87"/>
      <c r="D53" s="86"/>
      <c r="E53" s="88" t="s">
        <v>63</v>
      </c>
      <c r="F53" s="90">
        <f>SUM(F51:F52)</f>
        <v>0</v>
      </c>
      <c r="G53" s="90">
        <f>SUM(G51:G52)</f>
        <v>0</v>
      </c>
      <c r="H53" s="455">
        <f>SUM(H51:H52)</f>
        <v>0</v>
      </c>
      <c r="I53" s="90">
        <f>SUM(I51:I52)</f>
        <v>0</v>
      </c>
      <c r="J53" s="455"/>
      <c r="K53" s="611">
        <f>SUM(K51:K52)</f>
        <v>0</v>
      </c>
      <c r="L53" s="90">
        <f>SUM(L51:L52)</f>
        <v>0</v>
      </c>
      <c r="M53" s="455"/>
      <c r="N53" s="90"/>
      <c r="O53" s="90">
        <f>SUM(O51:O52)</f>
        <v>0</v>
      </c>
      <c r="P53" s="90">
        <f>SUM(P51:P52)</f>
        <v>0</v>
      </c>
      <c r="Q53" s="90"/>
    </row>
    <row r="54" spans="1:17" x14ac:dyDescent="0.25">
      <c r="A54" s="321"/>
      <c r="B54" s="87"/>
      <c r="C54" s="87"/>
      <c r="D54" s="86"/>
      <c r="E54" s="88" t="s">
        <v>64</v>
      </c>
      <c r="F54" s="89">
        <f>F53+F50</f>
        <v>52284578.82</v>
      </c>
      <c r="G54" s="89">
        <f>G53+G50</f>
        <v>0</v>
      </c>
      <c r="H54" s="938">
        <f>H53+H50</f>
        <v>33701637.649999999</v>
      </c>
      <c r="I54" s="89">
        <f>I53+I50</f>
        <v>0</v>
      </c>
      <c r="J54" s="455"/>
      <c r="K54" s="456">
        <f>K53+K50</f>
        <v>18582941.170000002</v>
      </c>
      <c r="L54" s="89">
        <f>L53+L50</f>
        <v>0</v>
      </c>
      <c r="M54" s="455"/>
      <c r="N54" s="90"/>
      <c r="O54" s="89">
        <f>O53+O50</f>
        <v>0</v>
      </c>
      <c r="P54" s="89">
        <f>P53+P50</f>
        <v>0</v>
      </c>
      <c r="Q54" s="90"/>
    </row>
    <row r="55" spans="1:17" x14ac:dyDescent="0.25">
      <c r="A55" s="321"/>
      <c r="B55" s="87"/>
      <c r="C55" s="87"/>
      <c r="D55" s="86"/>
      <c r="E55" s="88" t="s">
        <v>65</v>
      </c>
      <c r="F55" s="89">
        <f>F54-G54</f>
        <v>52284578.82</v>
      </c>
      <c r="G55" s="86"/>
      <c r="H55" s="938">
        <f>H54-I54</f>
        <v>33701637.649999999</v>
      </c>
      <c r="I55" s="86"/>
      <c r="J55" s="455"/>
      <c r="K55" s="456">
        <f>K54-L54</f>
        <v>18582941.170000002</v>
      </c>
      <c r="L55" s="86"/>
      <c r="M55" s="455"/>
      <c r="N55" s="86"/>
      <c r="O55" s="89">
        <f>O54-P54</f>
        <v>0</v>
      </c>
      <c r="P55" s="86"/>
      <c r="Q55" s="90"/>
    </row>
    <row r="56" spans="1:17" x14ac:dyDescent="0.25">
      <c r="A56" s="669"/>
      <c r="B56" s="671"/>
      <c r="C56" s="671"/>
      <c r="D56" s="672"/>
      <c r="E56" s="673"/>
      <c r="F56" s="674"/>
      <c r="G56" s="675"/>
      <c r="H56" s="674"/>
      <c r="I56" s="675"/>
      <c r="J56" s="676"/>
      <c r="K56" s="677"/>
      <c r="L56" s="678"/>
      <c r="M56" s="679"/>
      <c r="N56" s="691"/>
    </row>
    <row r="57" spans="1:17" x14ac:dyDescent="0.25">
      <c r="A57" s="680"/>
      <c r="B57" s="682"/>
      <c r="C57" s="682"/>
      <c r="D57" s="683"/>
      <c r="E57" s="684"/>
      <c r="F57" s="685"/>
      <c r="G57" s="686"/>
      <c r="H57" s="685"/>
      <c r="I57" s="686"/>
      <c r="J57" s="687"/>
      <c r="K57" s="688"/>
      <c r="L57" s="689"/>
      <c r="M57" s="690"/>
      <c r="N57" s="691"/>
    </row>
    <row r="58" spans="1:17" x14ac:dyDescent="0.25">
      <c r="A58" s="885" t="s">
        <v>19</v>
      </c>
      <c r="B58" s="893" t="s">
        <v>9</v>
      </c>
      <c r="C58" s="305"/>
      <c r="D58" s="307"/>
      <c r="E58" s="891" t="s">
        <v>20</v>
      </c>
      <c r="F58" s="888" t="s">
        <v>11</v>
      </c>
      <c r="G58" s="885" t="s">
        <v>12</v>
      </c>
      <c r="H58" s="885" t="s">
        <v>0</v>
      </c>
      <c r="I58" s="885"/>
      <c r="J58" s="885"/>
      <c r="K58" s="885" t="s">
        <v>1</v>
      </c>
      <c r="L58" s="885"/>
      <c r="M58" s="885"/>
      <c r="N58" s="307"/>
      <c r="O58" s="908" t="s">
        <v>411</v>
      </c>
      <c r="P58" s="908"/>
      <c r="Q58" s="908"/>
    </row>
    <row r="59" spans="1:17" ht="15.75" thickBot="1" x14ac:dyDescent="0.3">
      <c r="A59" s="898"/>
      <c r="B59" s="902"/>
      <c r="C59" s="306"/>
      <c r="D59" s="310"/>
      <c r="E59" s="901"/>
      <c r="F59" s="889"/>
      <c r="G59" s="898"/>
      <c r="H59" s="310" t="s">
        <v>11</v>
      </c>
      <c r="I59" s="310" t="s">
        <v>12</v>
      </c>
      <c r="J59" s="567" t="s">
        <v>21</v>
      </c>
      <c r="K59" s="612" t="s">
        <v>11</v>
      </c>
      <c r="L59" s="310" t="s">
        <v>12</v>
      </c>
      <c r="M59" s="567" t="s">
        <v>21</v>
      </c>
      <c r="N59" s="310"/>
      <c r="O59" s="318" t="s">
        <v>11</v>
      </c>
      <c r="P59" s="318" t="s">
        <v>12</v>
      </c>
      <c r="Q59" s="318" t="s">
        <v>21</v>
      </c>
    </row>
    <row r="60" spans="1:17" ht="15.75" thickTop="1" x14ac:dyDescent="0.25">
      <c r="A60" s="322">
        <v>45664</v>
      </c>
      <c r="B60" s="95"/>
      <c r="C60" s="6" t="str">
        <f t="shared" ref="C60" si="7">LEFT(E60,5)</f>
        <v>SALDO</v>
      </c>
      <c r="D60" s="20"/>
      <c r="E60" s="96" t="s">
        <v>29</v>
      </c>
      <c r="F60" s="22">
        <f>F55</f>
        <v>52284578.82</v>
      </c>
      <c r="G60" s="97"/>
      <c r="H60" s="317">
        <f>H55</f>
        <v>33701637.649999999</v>
      </c>
      <c r="I60" s="97"/>
      <c r="J60" s="457">
        <f>H60-I60</f>
        <v>33701637.649999999</v>
      </c>
      <c r="K60" s="618">
        <f>K55</f>
        <v>18582941.170000002</v>
      </c>
      <c r="L60" s="21"/>
      <c r="M60" s="457">
        <f>K60-L60</f>
        <v>18582941.170000002</v>
      </c>
      <c r="N60" s="97"/>
      <c r="O60" s="317">
        <f>O55</f>
        <v>0</v>
      </c>
      <c r="Q60" s="317">
        <f>O60-P60</f>
        <v>0</v>
      </c>
    </row>
    <row r="61" spans="1:17" x14ac:dyDescent="0.25">
      <c r="A61" s="653"/>
      <c r="B61" s="98"/>
      <c r="C61" s="6"/>
      <c r="D61" s="98"/>
      <c r="E61" s="654"/>
      <c r="F61" s="5"/>
      <c r="G61" s="99"/>
      <c r="H61" s="99"/>
      <c r="I61" s="99"/>
      <c r="J61" s="568">
        <f>J60+H61-I61</f>
        <v>33701637.649999999</v>
      </c>
      <c r="K61" s="614"/>
      <c r="L61" s="98"/>
      <c r="M61" s="568">
        <f>M60+K61-L61</f>
        <v>18582941.170000002</v>
      </c>
      <c r="N61" s="98"/>
      <c r="Q61" s="317">
        <f>Q60+O61-P61</f>
        <v>0</v>
      </c>
    </row>
    <row r="62" spans="1:17" x14ac:dyDescent="0.25">
      <c r="A62" s="657" t="s">
        <v>869</v>
      </c>
      <c r="B62" s="98"/>
      <c r="C62" s="259"/>
      <c r="D62" s="260"/>
      <c r="E62" s="263"/>
      <c r="F62" s="256"/>
      <c r="G62" s="264"/>
      <c r="H62" s="265"/>
      <c r="I62" s="264"/>
      <c r="J62" s="568">
        <f>J61+H62-I62</f>
        <v>33701637.649999999</v>
      </c>
      <c r="K62" s="615"/>
      <c r="L62" s="257"/>
      <c r="M62" s="568">
        <f>M61+K62-L62</f>
        <v>18582941.170000002</v>
      </c>
      <c r="N62" s="257"/>
      <c r="Q62" s="317" t="e">
        <f>#REF!+O62-P62</f>
        <v>#REF!</v>
      </c>
    </row>
    <row r="63" spans="1:17" x14ac:dyDescent="0.25">
      <c r="A63" s="321"/>
      <c r="B63" s="87"/>
      <c r="C63" s="87"/>
      <c r="D63" s="86"/>
      <c r="E63" s="88" t="s">
        <v>63</v>
      </c>
      <c r="F63" s="90">
        <f>SUM(F61:F62)</f>
        <v>0</v>
      </c>
      <c r="G63" s="90">
        <f>SUM(G61:G62)</f>
        <v>0</v>
      </c>
      <c r="H63" s="90">
        <f>SUM(H61:H62)</f>
        <v>0</v>
      </c>
      <c r="I63" s="90">
        <f>SUM(I61:I62)</f>
        <v>0</v>
      </c>
      <c r="J63" s="455"/>
      <c r="K63" s="611">
        <f>SUM(K61:K62)</f>
        <v>0</v>
      </c>
      <c r="L63" s="90">
        <f>SUM(L61:L62)</f>
        <v>0</v>
      </c>
      <c r="M63" s="455"/>
      <c r="N63" s="90"/>
      <c r="O63" s="90">
        <f>SUM(O61:O62)</f>
        <v>0</v>
      </c>
      <c r="P63" s="90">
        <f>SUM(P61:P62)</f>
        <v>0</v>
      </c>
      <c r="Q63" s="90"/>
    </row>
    <row r="64" spans="1:17" x14ac:dyDescent="0.25">
      <c r="A64" s="321"/>
      <c r="B64" s="87"/>
      <c r="C64" s="87"/>
      <c r="D64" s="86"/>
      <c r="E64" s="88" t="s">
        <v>64</v>
      </c>
      <c r="F64" s="89">
        <f>F63+F60</f>
        <v>52284578.82</v>
      </c>
      <c r="G64" s="89">
        <f>G63+G60</f>
        <v>0</v>
      </c>
      <c r="H64" s="456">
        <f>H63+H60</f>
        <v>33701637.649999999</v>
      </c>
      <c r="I64" s="89">
        <f>I63+I60</f>
        <v>0</v>
      </c>
      <c r="J64" s="455"/>
      <c r="K64" s="456">
        <f>K63+K60</f>
        <v>18582941.170000002</v>
      </c>
      <c r="L64" s="89">
        <f>L63+L60</f>
        <v>0</v>
      </c>
      <c r="M64" s="455"/>
      <c r="N64" s="90"/>
      <c r="O64" s="89">
        <f>O63+O60</f>
        <v>0</v>
      </c>
      <c r="P64" s="89">
        <f>P63+P60</f>
        <v>0</v>
      </c>
      <c r="Q64" s="90"/>
    </row>
    <row r="65" spans="1:17" x14ac:dyDescent="0.25">
      <c r="A65" s="321"/>
      <c r="B65" s="87"/>
      <c r="C65" s="87"/>
      <c r="D65" s="86"/>
      <c r="E65" s="88" t="s">
        <v>65</v>
      </c>
      <c r="F65" s="89">
        <f>F64-G64</f>
        <v>52284578.82</v>
      </c>
      <c r="G65" s="86"/>
      <c r="H65" s="456">
        <f>H64-I64</f>
        <v>33701637.649999999</v>
      </c>
      <c r="I65" s="86"/>
      <c r="J65" s="455"/>
      <c r="K65" s="456">
        <f>K64-L64</f>
        <v>18582941.170000002</v>
      </c>
      <c r="L65" s="86"/>
      <c r="M65" s="455"/>
      <c r="N65" s="86"/>
      <c r="O65" s="89">
        <f>O64-P64</f>
        <v>0</v>
      </c>
      <c r="P65" s="86"/>
      <c r="Q65" s="90"/>
    </row>
    <row r="66" spans="1:17" x14ac:dyDescent="0.25">
      <c r="A66" s="669"/>
      <c r="B66" s="671"/>
      <c r="C66" s="671"/>
      <c r="D66" s="672"/>
      <c r="E66" s="673"/>
      <c r="F66" s="674"/>
      <c r="G66" s="675"/>
      <c r="H66" s="674"/>
      <c r="I66" s="675"/>
      <c r="J66" s="676"/>
      <c r="K66" s="677"/>
      <c r="L66" s="678"/>
      <c r="M66" s="679"/>
      <c r="N66" s="691"/>
    </row>
    <row r="67" spans="1:17" x14ac:dyDescent="0.25">
      <c r="A67" s="680"/>
      <c r="B67" s="682"/>
      <c r="C67" s="682"/>
      <c r="D67" s="683"/>
      <c r="E67" s="684"/>
      <c r="F67" s="685"/>
      <c r="G67" s="686"/>
      <c r="H67" s="685"/>
      <c r="I67" s="686"/>
      <c r="J67" s="687"/>
      <c r="K67" s="688"/>
      <c r="L67" s="689"/>
      <c r="M67" s="690"/>
      <c r="N67" s="691"/>
    </row>
    <row r="68" spans="1:17" x14ac:dyDescent="0.25">
      <c r="A68" s="885" t="s">
        <v>19</v>
      </c>
      <c r="B68" s="893" t="s">
        <v>9</v>
      </c>
      <c r="C68" s="305"/>
      <c r="D68" s="307"/>
      <c r="E68" s="891" t="s">
        <v>20</v>
      </c>
      <c r="F68" s="888" t="s">
        <v>11</v>
      </c>
      <c r="G68" s="885" t="s">
        <v>12</v>
      </c>
      <c r="H68" s="885" t="s">
        <v>0</v>
      </c>
      <c r="I68" s="885"/>
      <c r="J68" s="885"/>
      <c r="K68" s="885" t="s">
        <v>1</v>
      </c>
      <c r="L68" s="885"/>
      <c r="M68" s="885"/>
      <c r="N68" s="307"/>
      <c r="O68" s="908" t="s">
        <v>411</v>
      </c>
      <c r="P68" s="908"/>
      <c r="Q68" s="908"/>
    </row>
    <row r="69" spans="1:17" ht="15.75" thickBot="1" x14ac:dyDescent="0.3">
      <c r="A69" s="898"/>
      <c r="B69" s="902"/>
      <c r="C69" s="306"/>
      <c r="D69" s="310"/>
      <c r="E69" s="901"/>
      <c r="F69" s="889"/>
      <c r="G69" s="898"/>
      <c r="H69" s="310" t="s">
        <v>11</v>
      </c>
      <c r="I69" s="310" t="s">
        <v>12</v>
      </c>
      <c r="J69" s="567" t="s">
        <v>21</v>
      </c>
      <c r="K69" s="612" t="s">
        <v>11</v>
      </c>
      <c r="L69" s="310" t="s">
        <v>12</v>
      </c>
      <c r="M69" s="567" t="s">
        <v>21</v>
      </c>
      <c r="N69" s="310"/>
      <c r="O69" s="318" t="s">
        <v>11</v>
      </c>
      <c r="P69" s="318" t="s">
        <v>12</v>
      </c>
      <c r="Q69" s="318" t="s">
        <v>21</v>
      </c>
    </row>
    <row r="70" spans="1:17" ht="15.75" thickTop="1" x14ac:dyDescent="0.25">
      <c r="A70" s="322">
        <v>45665</v>
      </c>
      <c r="B70" s="95"/>
      <c r="C70" s="6" t="str">
        <f t="shared" ref="C70" si="8">LEFT(E70,5)</f>
        <v>SALDO</v>
      </c>
      <c r="D70" s="20"/>
      <c r="E70" s="96" t="s">
        <v>29</v>
      </c>
      <c r="F70" s="22">
        <f>F65</f>
        <v>52284578.82</v>
      </c>
      <c r="G70" s="97"/>
      <c r="H70" s="457">
        <f>H65</f>
        <v>33701637.649999999</v>
      </c>
      <c r="I70" s="97"/>
      <c r="J70" s="457">
        <f>H70-I70</f>
        <v>33701637.649999999</v>
      </c>
      <c r="K70" s="613">
        <f>K65</f>
        <v>18582941.170000002</v>
      </c>
      <c r="L70" s="21"/>
      <c r="M70" s="457">
        <f>K70-L70</f>
        <v>18582941.170000002</v>
      </c>
      <c r="N70" s="97"/>
      <c r="O70" s="317">
        <f>O65</f>
        <v>0</v>
      </c>
      <c r="Q70" s="317">
        <f>O70-P70</f>
        <v>0</v>
      </c>
    </row>
    <row r="71" spans="1:17" x14ac:dyDescent="0.25">
      <c r="A71" s="653"/>
      <c r="B71" s="98"/>
      <c r="C71" s="6"/>
      <c r="D71" s="98"/>
      <c r="E71" s="820"/>
      <c r="F71" s="821"/>
      <c r="G71" s="822"/>
      <c r="H71" s="939"/>
      <c r="I71" s="99"/>
      <c r="J71" s="568">
        <f>J70+H71-I71</f>
        <v>33701637.649999999</v>
      </c>
      <c r="K71" s="614"/>
      <c r="L71" s="98"/>
      <c r="M71" s="568">
        <f>M70+K71-L71</f>
        <v>18582941.170000002</v>
      </c>
      <c r="N71" s="98"/>
      <c r="Q71" s="317">
        <f>Q70+O71-P71</f>
        <v>0</v>
      </c>
    </row>
    <row r="72" spans="1:17" x14ac:dyDescent="0.25">
      <c r="A72" s="657" t="s">
        <v>870</v>
      </c>
      <c r="B72" s="98"/>
      <c r="C72" s="259"/>
      <c r="D72" s="260"/>
      <c r="E72" s="263"/>
      <c r="F72" s="256"/>
      <c r="G72" s="264"/>
      <c r="H72" s="937"/>
      <c r="I72" s="264"/>
      <c r="J72" s="568">
        <f t="shared" ref="J72" si="9">J71+H72-I72</f>
        <v>33701637.649999999</v>
      </c>
      <c r="K72" s="615"/>
      <c r="L72" s="257"/>
      <c r="M72" s="568">
        <f t="shared" ref="M72" si="10">M71+K72-L72</f>
        <v>18582941.170000002</v>
      </c>
      <c r="N72" s="257"/>
      <c r="Q72" s="317" t="e">
        <f>#REF!+O72-P72</f>
        <v>#REF!</v>
      </c>
    </row>
    <row r="73" spans="1:17" x14ac:dyDescent="0.25">
      <c r="A73" s="321"/>
      <c r="B73" s="87"/>
      <c r="C73" s="87"/>
      <c r="D73" s="86"/>
      <c r="E73" s="88" t="s">
        <v>63</v>
      </c>
      <c r="F73" s="90">
        <f>SUM(F71:F72)</f>
        <v>0</v>
      </c>
      <c r="G73" s="90">
        <f>SUM(G71:G72)</f>
        <v>0</v>
      </c>
      <c r="H73" s="455">
        <f>SUM(H71:H72)</f>
        <v>0</v>
      </c>
      <c r="I73" s="90">
        <f>SUM(I71:I72)</f>
        <v>0</v>
      </c>
      <c r="J73" s="455"/>
      <c r="K73" s="611">
        <f>SUM(K71:K72)</f>
        <v>0</v>
      </c>
      <c r="L73" s="90">
        <f>SUM(L71:L72)</f>
        <v>0</v>
      </c>
      <c r="M73" s="455"/>
      <c r="N73" s="90"/>
      <c r="O73" s="90">
        <f>SUM(O71:O72)</f>
        <v>0</v>
      </c>
      <c r="P73" s="90">
        <f>SUM(P71:P72)</f>
        <v>0</v>
      </c>
      <c r="Q73" s="90"/>
    </row>
    <row r="74" spans="1:17" x14ac:dyDescent="0.25">
      <c r="A74" s="321"/>
      <c r="B74" s="87"/>
      <c r="C74" s="87"/>
      <c r="D74" s="86"/>
      <c r="E74" s="88" t="s">
        <v>64</v>
      </c>
      <c r="F74" s="89">
        <f>F73+F70</f>
        <v>52284578.82</v>
      </c>
      <c r="G74" s="89">
        <f>G73+G70</f>
        <v>0</v>
      </c>
      <c r="H74" s="938">
        <f>H73+H70</f>
        <v>33701637.649999999</v>
      </c>
      <c r="I74" s="89">
        <f>I73+I70</f>
        <v>0</v>
      </c>
      <c r="J74" s="455"/>
      <c r="K74" s="456">
        <f>K73+K70</f>
        <v>18582941.170000002</v>
      </c>
      <c r="L74" s="89">
        <f>L73+L70</f>
        <v>0</v>
      </c>
      <c r="M74" s="455"/>
      <c r="N74" s="90"/>
      <c r="O74" s="89">
        <f>O73+O70</f>
        <v>0</v>
      </c>
      <c r="P74" s="89">
        <f>P73+P70</f>
        <v>0</v>
      </c>
      <c r="Q74" s="90"/>
    </row>
    <row r="75" spans="1:17" x14ac:dyDescent="0.25">
      <c r="A75" s="321"/>
      <c r="B75" s="87"/>
      <c r="C75" s="87"/>
      <c r="D75" s="86"/>
      <c r="E75" s="88" t="s">
        <v>65</v>
      </c>
      <c r="F75" s="89">
        <f>F74-G74</f>
        <v>52284578.82</v>
      </c>
      <c r="G75" s="86"/>
      <c r="H75" s="938">
        <f>H74-I74</f>
        <v>33701637.649999999</v>
      </c>
      <c r="I75" s="86"/>
      <c r="J75" s="455"/>
      <c r="K75" s="456">
        <f>K74-L74</f>
        <v>18582941.170000002</v>
      </c>
      <c r="L75" s="86"/>
      <c r="M75" s="455"/>
      <c r="N75" s="86"/>
      <c r="O75" s="89">
        <f>O74-P74</f>
        <v>0</v>
      </c>
      <c r="P75" s="86"/>
      <c r="Q75" s="90"/>
    </row>
    <row r="76" spans="1:17" x14ac:dyDescent="0.25">
      <c r="A76" s="669"/>
      <c r="B76" s="671"/>
      <c r="C76" s="671"/>
      <c r="D76" s="672"/>
      <c r="E76" s="673"/>
      <c r="F76" s="674"/>
      <c r="G76" s="675"/>
      <c r="H76" s="674"/>
      <c r="I76" s="675"/>
      <c r="J76" s="676"/>
      <c r="K76" s="677"/>
      <c r="L76" s="678"/>
      <c r="M76" s="679"/>
      <c r="N76" s="691"/>
    </row>
    <row r="77" spans="1:17" x14ac:dyDescent="0.25">
      <c r="A77" s="680"/>
      <c r="B77" s="682"/>
      <c r="C77" s="682"/>
      <c r="D77" s="683"/>
      <c r="E77" s="684"/>
      <c r="F77" s="685"/>
      <c r="G77" s="686"/>
      <c r="H77" s="685"/>
      <c r="I77" s="686"/>
      <c r="J77" s="687"/>
      <c r="K77" s="688"/>
      <c r="L77" s="689"/>
      <c r="M77" s="690"/>
      <c r="N77" s="694"/>
    </row>
    <row r="78" spans="1:17" x14ac:dyDescent="0.25">
      <c r="A78" s="885" t="s">
        <v>19</v>
      </c>
      <c r="B78" s="893" t="s">
        <v>9</v>
      </c>
      <c r="C78" s="305"/>
      <c r="D78" s="307"/>
      <c r="E78" s="891" t="s">
        <v>20</v>
      </c>
      <c r="F78" s="888" t="s">
        <v>11</v>
      </c>
      <c r="G78" s="885" t="s">
        <v>12</v>
      </c>
      <c r="H78" s="885" t="s">
        <v>0</v>
      </c>
      <c r="I78" s="885"/>
      <c r="J78" s="885"/>
      <c r="K78" s="885" t="s">
        <v>1</v>
      </c>
      <c r="L78" s="885"/>
      <c r="M78" s="885"/>
      <c r="N78" s="307"/>
      <c r="O78" s="908" t="s">
        <v>411</v>
      </c>
      <c r="P78" s="908"/>
      <c r="Q78" s="908"/>
    </row>
    <row r="79" spans="1:17" ht="15.75" thickBot="1" x14ac:dyDescent="0.3">
      <c r="A79" s="898"/>
      <c r="B79" s="902"/>
      <c r="C79" s="306"/>
      <c r="D79" s="310"/>
      <c r="E79" s="901"/>
      <c r="F79" s="889"/>
      <c r="G79" s="898"/>
      <c r="H79" s="310" t="s">
        <v>11</v>
      </c>
      <c r="I79" s="310" t="s">
        <v>12</v>
      </c>
      <c r="J79" s="567" t="s">
        <v>21</v>
      </c>
      <c r="K79" s="612" t="s">
        <v>11</v>
      </c>
      <c r="L79" s="310" t="s">
        <v>12</v>
      </c>
      <c r="M79" s="567" t="s">
        <v>21</v>
      </c>
      <c r="N79" s="310"/>
      <c r="O79" s="318" t="s">
        <v>11</v>
      </c>
      <c r="P79" s="318" t="s">
        <v>12</v>
      </c>
      <c r="Q79" s="318" t="s">
        <v>21</v>
      </c>
    </row>
    <row r="80" spans="1:17" ht="15.75" thickTop="1" x14ac:dyDescent="0.25">
      <c r="A80" s="322">
        <v>45666</v>
      </c>
      <c r="B80" s="98"/>
      <c r="C80" s="6" t="str">
        <f t="shared" ref="C80" si="11">LEFT(E80,5)</f>
        <v>SALDO</v>
      </c>
      <c r="D80" s="20"/>
      <c r="E80" s="96" t="s">
        <v>29</v>
      </c>
      <c r="F80" s="22">
        <f>F75</f>
        <v>52284578.82</v>
      </c>
      <c r="G80" s="97"/>
      <c r="H80" s="97">
        <f>H75</f>
        <v>33701637.649999999</v>
      </c>
      <c r="I80" s="97"/>
      <c r="J80" s="457">
        <f>H80-I80</f>
        <v>33701637.649999999</v>
      </c>
      <c r="K80" s="613">
        <f>K75</f>
        <v>18582941.170000002</v>
      </c>
      <c r="L80" s="21"/>
      <c r="M80" s="457">
        <f>K80-L80</f>
        <v>18582941.170000002</v>
      </c>
      <c r="N80" s="97"/>
      <c r="O80" s="97">
        <f>O75</f>
        <v>0</v>
      </c>
      <c r="Q80" s="317">
        <f>O80-P80</f>
        <v>0</v>
      </c>
    </row>
    <row r="81" spans="1:17" x14ac:dyDescent="0.25">
      <c r="A81" s="653">
        <v>45697</v>
      </c>
      <c r="B81" s="98">
        <v>3002</v>
      </c>
      <c r="C81" s="6"/>
      <c r="D81" s="98"/>
      <c r="E81" s="654" t="s">
        <v>871</v>
      </c>
      <c r="F81" s="5"/>
      <c r="G81" s="458">
        <v>3753620</v>
      </c>
      <c r="H81" s="458"/>
      <c r="I81" s="458">
        <v>3753620</v>
      </c>
      <c r="J81" s="568">
        <f>J80+H81-I81</f>
        <v>29948017.649999999</v>
      </c>
      <c r="K81" s="614"/>
      <c r="L81" s="497"/>
      <c r="M81" s="568">
        <f>M80+K81-L81</f>
        <v>18582941.170000002</v>
      </c>
      <c r="N81" s="98"/>
      <c r="Q81" s="317">
        <f>Q80+O81-P81</f>
        <v>0</v>
      </c>
    </row>
    <row r="82" spans="1:17" x14ac:dyDescent="0.25">
      <c r="A82" s="653"/>
      <c r="B82" s="98">
        <v>3003</v>
      </c>
      <c r="C82" s="6"/>
      <c r="D82" s="98"/>
      <c r="E82" s="654" t="s">
        <v>872</v>
      </c>
      <c r="F82" s="5"/>
      <c r="G82" s="458">
        <v>1251200</v>
      </c>
      <c r="H82" s="458"/>
      <c r="I82" s="458">
        <v>1251200</v>
      </c>
      <c r="J82" s="568">
        <f t="shared" ref="J82:J92" si="12">J81+H82-I82</f>
        <v>28696817.649999999</v>
      </c>
      <c r="K82" s="614"/>
      <c r="L82" s="497"/>
      <c r="M82" s="568">
        <f t="shared" ref="M82:M92" si="13">M81+K82-L82</f>
        <v>18582941.170000002</v>
      </c>
      <c r="N82" s="98"/>
    </row>
    <row r="83" spans="1:17" x14ac:dyDescent="0.25">
      <c r="A83" s="653"/>
      <c r="B83" s="98">
        <v>3001</v>
      </c>
      <c r="C83" s="6"/>
      <c r="D83" s="98"/>
      <c r="E83" s="654" t="s">
        <v>873</v>
      </c>
      <c r="F83" s="5"/>
      <c r="G83" s="458">
        <v>3128015</v>
      </c>
      <c r="H83" s="458"/>
      <c r="I83" s="458">
        <v>3128015</v>
      </c>
      <c r="J83" s="568">
        <f t="shared" si="12"/>
        <v>25568802.649999999</v>
      </c>
      <c r="K83" s="614"/>
      <c r="L83" s="98"/>
      <c r="M83" s="568">
        <f t="shared" si="13"/>
        <v>18582941.170000002</v>
      </c>
      <c r="N83" s="98"/>
    </row>
    <row r="84" spans="1:17" hidden="1" x14ac:dyDescent="0.25">
      <c r="A84" s="653"/>
      <c r="B84" s="98"/>
      <c r="C84" s="6"/>
      <c r="D84" s="98"/>
      <c r="E84" s="654"/>
      <c r="F84" s="5"/>
      <c r="G84" s="99"/>
      <c r="H84" s="99"/>
      <c r="I84" s="99"/>
      <c r="J84" s="568">
        <f t="shared" si="12"/>
        <v>25568802.649999999</v>
      </c>
      <c r="K84" s="614"/>
      <c r="L84" s="98"/>
      <c r="M84" s="568">
        <f t="shared" si="13"/>
        <v>18582941.170000002</v>
      </c>
      <c r="N84" s="98"/>
    </row>
    <row r="85" spans="1:17" hidden="1" x14ac:dyDescent="0.25">
      <c r="A85" s="653"/>
      <c r="B85" s="98"/>
      <c r="C85" s="6"/>
      <c r="D85" s="98"/>
      <c r="E85" s="654"/>
      <c r="F85" s="5"/>
      <c r="G85" s="99"/>
      <c r="H85" s="99"/>
      <c r="I85" s="99"/>
      <c r="J85" s="568">
        <f t="shared" si="12"/>
        <v>25568802.649999999</v>
      </c>
      <c r="K85" s="614"/>
      <c r="L85" s="98"/>
      <c r="M85" s="568">
        <f t="shared" si="13"/>
        <v>18582941.170000002</v>
      </c>
      <c r="N85" s="98"/>
    </row>
    <row r="86" spans="1:17" hidden="1" x14ac:dyDescent="0.25">
      <c r="A86" s="653"/>
      <c r="B86" s="98"/>
      <c r="C86" s="6"/>
      <c r="D86" s="98"/>
      <c r="E86" s="654"/>
      <c r="F86" s="5"/>
      <c r="G86" s="99"/>
      <c r="H86" s="99"/>
      <c r="I86" s="99"/>
      <c r="J86" s="568">
        <f t="shared" si="12"/>
        <v>25568802.649999999</v>
      </c>
      <c r="K86" s="614"/>
      <c r="L86" s="98"/>
      <c r="M86" s="568">
        <f t="shared" si="13"/>
        <v>18582941.170000002</v>
      </c>
      <c r="N86" s="98"/>
    </row>
    <row r="87" spans="1:17" hidden="1" x14ac:dyDescent="0.25">
      <c r="A87" s="653"/>
      <c r="B87" s="98"/>
      <c r="C87" s="6"/>
      <c r="D87" s="38"/>
      <c r="E87" s="104"/>
      <c r="F87" s="5"/>
      <c r="G87" s="99"/>
      <c r="H87" s="5"/>
      <c r="I87" s="99"/>
      <c r="J87" s="568">
        <f t="shared" si="12"/>
        <v>25568802.649999999</v>
      </c>
      <c r="K87" s="614"/>
      <c r="L87" s="98"/>
      <c r="M87" s="568">
        <f t="shared" si="13"/>
        <v>18582941.170000002</v>
      </c>
      <c r="N87" s="10"/>
      <c r="Q87" s="317">
        <f>Q81+O87-P87</f>
        <v>0</v>
      </c>
    </row>
    <row r="88" spans="1:17" hidden="1" x14ac:dyDescent="0.25">
      <c r="A88" s="653"/>
      <c r="B88" s="38"/>
      <c r="C88" s="6"/>
      <c r="D88" s="38"/>
      <c r="E88" s="104"/>
      <c r="F88" s="5"/>
      <c r="G88" s="99"/>
      <c r="H88" s="5"/>
      <c r="I88" s="99"/>
      <c r="J88" s="568">
        <f t="shared" si="12"/>
        <v>25568802.649999999</v>
      </c>
      <c r="K88" s="616"/>
      <c r="L88" s="99"/>
      <c r="M88" s="568">
        <f t="shared" si="13"/>
        <v>18582941.170000002</v>
      </c>
      <c r="N88" s="10"/>
      <c r="Q88" s="317">
        <f t="shared" ref="Q88" si="14">Q87+O88-P88</f>
        <v>0</v>
      </c>
    </row>
    <row r="89" spans="1:17" x14ac:dyDescent="0.25">
      <c r="A89" s="653"/>
      <c r="B89" s="98">
        <v>3002</v>
      </c>
      <c r="C89" s="6"/>
      <c r="D89" s="38"/>
      <c r="E89" s="104" t="s">
        <v>926</v>
      </c>
      <c r="F89" s="5"/>
      <c r="G89" s="939">
        <v>804.92</v>
      </c>
      <c r="H89" s="945"/>
      <c r="I89" s="939">
        <v>804.92</v>
      </c>
      <c r="J89" s="568">
        <f t="shared" si="12"/>
        <v>25567997.729999997</v>
      </c>
      <c r="K89" s="616"/>
      <c r="L89" s="99"/>
      <c r="M89" s="568">
        <f t="shared" si="13"/>
        <v>18582941.170000002</v>
      </c>
      <c r="N89" s="10"/>
    </row>
    <row r="90" spans="1:17" x14ac:dyDescent="0.25">
      <c r="A90" s="653"/>
      <c r="B90" s="98">
        <v>5102</v>
      </c>
      <c r="C90" s="6"/>
      <c r="D90" s="38"/>
      <c r="E90" s="104" t="s">
        <v>884</v>
      </c>
      <c r="F90" s="5"/>
      <c r="G90" s="99">
        <v>450000</v>
      </c>
      <c r="H90" s="5"/>
      <c r="I90" s="99">
        <v>450000</v>
      </c>
      <c r="J90" s="568">
        <f t="shared" si="12"/>
        <v>25117997.729999997</v>
      </c>
      <c r="K90" s="616"/>
      <c r="L90" s="99"/>
      <c r="M90" s="568">
        <f t="shared" si="13"/>
        <v>18582941.170000002</v>
      </c>
      <c r="N90" s="10"/>
    </row>
    <row r="91" spans="1:17" x14ac:dyDescent="0.25">
      <c r="A91" s="653"/>
      <c r="B91" s="98">
        <v>5104</v>
      </c>
      <c r="C91" s="6"/>
      <c r="D91" s="38"/>
      <c r="E91" s="104" t="s">
        <v>885</v>
      </c>
      <c r="F91" s="5"/>
      <c r="G91" s="99">
        <v>52000</v>
      </c>
      <c r="H91" s="5"/>
      <c r="I91" s="99">
        <v>52000</v>
      </c>
      <c r="J91" s="568">
        <f t="shared" si="12"/>
        <v>25065997.729999997</v>
      </c>
      <c r="K91" s="616"/>
      <c r="L91" s="99"/>
      <c r="M91" s="568">
        <f t="shared" si="13"/>
        <v>18582941.170000002</v>
      </c>
      <c r="N91" s="10"/>
    </row>
    <row r="92" spans="1:17" x14ac:dyDescent="0.25">
      <c r="A92" s="657">
        <v>38573</v>
      </c>
      <c r="B92" s="98">
        <v>5106</v>
      </c>
      <c r="C92" s="259"/>
      <c r="D92" s="260"/>
      <c r="E92" s="264" t="s">
        <v>886</v>
      </c>
      <c r="F92" s="256"/>
      <c r="G92" s="264">
        <v>200000</v>
      </c>
      <c r="H92" s="265"/>
      <c r="I92" s="264">
        <v>200000</v>
      </c>
      <c r="J92" s="568">
        <f t="shared" si="12"/>
        <v>24865997.729999997</v>
      </c>
      <c r="K92" s="615"/>
      <c r="L92" s="257"/>
      <c r="M92" s="568">
        <f t="shared" si="13"/>
        <v>18582941.170000002</v>
      </c>
      <c r="N92" s="257"/>
      <c r="Q92" s="317">
        <f>Q88+O92-P92</f>
        <v>0</v>
      </c>
    </row>
    <row r="93" spans="1:17" x14ac:dyDescent="0.25">
      <c r="A93" s="321"/>
      <c r="B93" s="87"/>
      <c r="C93" s="87"/>
      <c r="D93" s="86"/>
      <c r="E93" s="88" t="s">
        <v>63</v>
      </c>
      <c r="F93" s="90">
        <f>SUM(F81:F92)</f>
        <v>0</v>
      </c>
      <c r="G93" s="90">
        <f>SUM(G81:G92)</f>
        <v>8835639.9199999999</v>
      </c>
      <c r="H93" s="90">
        <f>SUM(H81:H92)</f>
        <v>0</v>
      </c>
      <c r="I93" s="90">
        <f>SUM(I81:I92)</f>
        <v>8835639.9199999999</v>
      </c>
      <c r="J93" s="455"/>
      <c r="K93" s="611">
        <f>SUM(K81:K92)</f>
        <v>0</v>
      </c>
      <c r="L93" s="90">
        <f>SUM(L81:L92)</f>
        <v>0</v>
      </c>
      <c r="M93" s="455"/>
      <c r="N93" s="90"/>
      <c r="O93" s="90">
        <f>SUM(O81:O92)</f>
        <v>0</v>
      </c>
      <c r="P93" s="90">
        <f>SUM(P81:P92)</f>
        <v>0</v>
      </c>
      <c r="Q93" s="90"/>
    </row>
    <row r="94" spans="1:17" x14ac:dyDescent="0.25">
      <c r="A94" s="321"/>
      <c r="B94" s="87"/>
      <c r="C94" s="87"/>
      <c r="D94" s="86"/>
      <c r="E94" s="88" t="s">
        <v>64</v>
      </c>
      <c r="F94" s="89">
        <f>F93+F80</f>
        <v>52284578.82</v>
      </c>
      <c r="G94" s="89">
        <f>G93+G80</f>
        <v>8835639.9199999999</v>
      </c>
      <c r="H94" s="456">
        <f>H93+H80</f>
        <v>33701637.649999999</v>
      </c>
      <c r="I94" s="89">
        <f>I93+I80</f>
        <v>8835639.9199999999</v>
      </c>
      <c r="J94" s="455"/>
      <c r="K94" s="456">
        <f>K93+K80</f>
        <v>18582941.170000002</v>
      </c>
      <c r="L94" s="89">
        <f>L93+L80</f>
        <v>0</v>
      </c>
      <c r="M94" s="455"/>
      <c r="N94" s="90"/>
      <c r="O94" s="89">
        <f>O93+O80</f>
        <v>0</v>
      </c>
      <c r="P94" s="89">
        <f>P93+P80</f>
        <v>0</v>
      </c>
      <c r="Q94" s="90"/>
    </row>
    <row r="95" spans="1:17" x14ac:dyDescent="0.25">
      <c r="A95" s="321"/>
      <c r="B95" s="87"/>
      <c r="C95" s="87"/>
      <c r="D95" s="86"/>
      <c r="E95" s="88" t="s">
        <v>65</v>
      </c>
      <c r="F95" s="89">
        <f>F94-G94</f>
        <v>43448938.899999999</v>
      </c>
      <c r="G95" s="86"/>
      <c r="H95" s="456">
        <f>H94-I94</f>
        <v>24865997.729999997</v>
      </c>
      <c r="I95" s="86"/>
      <c r="J95" s="455"/>
      <c r="K95" s="456">
        <f>K94-L94</f>
        <v>18582941.170000002</v>
      </c>
      <c r="L95" s="86"/>
      <c r="M95" s="455"/>
      <c r="N95" s="86"/>
      <c r="O95" s="89">
        <f>O94-P94</f>
        <v>0</v>
      </c>
      <c r="P95" s="86"/>
      <c r="Q95" s="90"/>
    </row>
    <row r="96" spans="1:17" x14ac:dyDescent="0.25">
      <c r="A96" s="324"/>
      <c r="B96" s="119"/>
      <c r="C96" s="119"/>
      <c r="D96" s="9"/>
      <c r="E96" s="120"/>
      <c r="F96" s="121"/>
      <c r="G96" s="9"/>
      <c r="H96" s="530"/>
      <c r="I96" s="9"/>
      <c r="J96" s="569"/>
      <c r="K96" s="619"/>
      <c r="L96" s="122"/>
      <c r="M96" s="569"/>
      <c r="N96" s="9"/>
    </row>
    <row r="97" spans="1:17" x14ac:dyDescent="0.25">
      <c r="A97" s="324"/>
      <c r="B97" s="119"/>
      <c r="C97" s="119"/>
      <c r="D97" s="9"/>
      <c r="E97" s="120"/>
      <c r="F97" s="121"/>
      <c r="G97" s="9"/>
      <c r="H97" s="122"/>
      <c r="I97" s="9"/>
      <c r="J97" s="569"/>
      <c r="K97" s="619"/>
      <c r="L97" s="122"/>
      <c r="M97" s="569"/>
      <c r="N97" s="9"/>
    </row>
    <row r="98" spans="1:17" x14ac:dyDescent="0.25">
      <c r="A98" s="885" t="s">
        <v>19</v>
      </c>
      <c r="B98" s="893" t="s">
        <v>9</v>
      </c>
      <c r="C98" s="305"/>
      <c r="D98" s="307"/>
      <c r="E98" s="891" t="s">
        <v>20</v>
      </c>
      <c r="F98" s="888" t="s">
        <v>11</v>
      </c>
      <c r="G98" s="885" t="s">
        <v>12</v>
      </c>
      <c r="H98" s="885" t="s">
        <v>0</v>
      </c>
      <c r="I98" s="885"/>
      <c r="J98" s="885"/>
      <c r="K98" s="885" t="s">
        <v>1</v>
      </c>
      <c r="L98" s="885"/>
      <c r="M98" s="885"/>
      <c r="N98" s="307"/>
      <c r="O98" s="908" t="s">
        <v>411</v>
      </c>
      <c r="P98" s="908"/>
      <c r="Q98" s="908"/>
    </row>
    <row r="99" spans="1:17" ht="15.75" thickBot="1" x14ac:dyDescent="0.3">
      <c r="A99" s="898"/>
      <c r="B99" s="902"/>
      <c r="C99" s="306"/>
      <c r="D99" s="310"/>
      <c r="E99" s="901"/>
      <c r="F99" s="889"/>
      <c r="G99" s="898"/>
      <c r="H99" s="310" t="s">
        <v>11</v>
      </c>
      <c r="I99" s="310" t="s">
        <v>12</v>
      </c>
      <c r="J99" s="567" t="s">
        <v>21</v>
      </c>
      <c r="K99" s="612" t="s">
        <v>11</v>
      </c>
      <c r="L99" s="310" t="s">
        <v>12</v>
      </c>
      <c r="M99" s="567" t="s">
        <v>21</v>
      </c>
      <c r="N99" s="310"/>
      <c r="O99" s="318" t="s">
        <v>11</v>
      </c>
      <c r="P99" s="318" t="s">
        <v>12</v>
      </c>
      <c r="Q99" s="318" t="s">
        <v>21</v>
      </c>
    </row>
    <row r="100" spans="1:17" ht="15.75" thickTop="1" x14ac:dyDescent="0.25">
      <c r="A100" s="322">
        <v>45667</v>
      </c>
      <c r="B100" s="95"/>
      <c r="C100" s="6" t="str">
        <f t="shared" ref="C100" si="15">LEFT(E100,5)</f>
        <v>SALDO</v>
      </c>
      <c r="D100" s="20"/>
      <c r="E100" s="96" t="s">
        <v>29</v>
      </c>
      <c r="F100" s="22">
        <f>F95</f>
        <v>43448938.899999999</v>
      </c>
      <c r="G100" s="97"/>
      <c r="H100" s="97">
        <f>H95</f>
        <v>24865997.729999997</v>
      </c>
      <c r="I100" s="97"/>
      <c r="J100" s="457">
        <f>H100-I100</f>
        <v>24865997.729999997</v>
      </c>
      <c r="K100" s="613">
        <f>K95</f>
        <v>18582941.170000002</v>
      </c>
      <c r="L100" s="21"/>
      <c r="M100" s="457">
        <f>K100-L100</f>
        <v>18582941.170000002</v>
      </c>
      <c r="N100" s="97"/>
      <c r="O100" s="97">
        <f>O95</f>
        <v>0</v>
      </c>
      <c r="Q100" s="317">
        <f>O100-P100</f>
        <v>0</v>
      </c>
    </row>
    <row r="101" spans="1:17" x14ac:dyDescent="0.25">
      <c r="A101" s="653"/>
      <c r="B101" s="98"/>
      <c r="C101" s="6"/>
      <c r="D101" s="98"/>
      <c r="E101" s="654"/>
      <c r="F101" s="5"/>
      <c r="G101" s="99"/>
      <c r="H101" s="99"/>
      <c r="I101" s="99"/>
      <c r="J101" s="568">
        <f>J100+H101-I101</f>
        <v>24865997.729999997</v>
      </c>
      <c r="K101" s="614"/>
      <c r="L101" s="98"/>
      <c r="M101" s="568">
        <f t="shared" ref="M101" si="16">M100+K101-L101</f>
        <v>18582941.170000002</v>
      </c>
      <c r="N101" s="98"/>
      <c r="Q101" s="100">
        <f t="shared" ref="Q101" si="17">Q100+O101-P101</f>
        <v>0</v>
      </c>
    </row>
    <row r="102" spans="1:17" x14ac:dyDescent="0.25">
      <c r="A102" s="657" t="s">
        <v>874</v>
      </c>
      <c r="B102" s="98"/>
      <c r="C102" s="259"/>
      <c r="D102" s="260"/>
      <c r="E102" s="263"/>
      <c r="F102" s="256"/>
      <c r="G102" s="264"/>
      <c r="H102" s="265"/>
      <c r="I102" s="264"/>
      <c r="J102" s="568">
        <f>J101+H102-I102</f>
        <v>24865997.729999997</v>
      </c>
      <c r="K102" s="615"/>
      <c r="L102" s="257"/>
      <c r="M102" s="568">
        <f>M101+K102-L102</f>
        <v>18582941.170000002</v>
      </c>
      <c r="N102" s="257"/>
      <c r="Q102" s="317" t="e">
        <f>#REF!+O102-P102</f>
        <v>#REF!</v>
      </c>
    </row>
    <row r="103" spans="1:17" x14ac:dyDescent="0.25">
      <c r="A103" s="321"/>
      <c r="B103" s="87"/>
      <c r="C103" s="87"/>
      <c r="D103" s="86"/>
      <c r="E103" s="88" t="s">
        <v>63</v>
      </c>
      <c r="F103" s="90">
        <f>SUM(F101:F102)</f>
        <v>0</v>
      </c>
      <c r="G103" s="90">
        <f>SUM(G101:G102)</f>
        <v>0</v>
      </c>
      <c r="H103" s="90">
        <f>SUM(H101:H102)</f>
        <v>0</v>
      </c>
      <c r="I103" s="90">
        <f>SUM(I101:I102)</f>
        <v>0</v>
      </c>
      <c r="J103" s="455"/>
      <c r="K103" s="611">
        <f>SUM(K101:K102)</f>
        <v>0</v>
      </c>
      <c r="L103" s="90">
        <f>SUM(L101:L102)</f>
        <v>0</v>
      </c>
      <c r="M103" s="455"/>
      <c r="N103" s="90"/>
      <c r="O103" s="90">
        <f>SUM(O101:O102)</f>
        <v>0</v>
      </c>
      <c r="P103" s="90">
        <f>SUM(P101:P102)</f>
        <v>0</v>
      </c>
      <c r="Q103" s="90"/>
    </row>
    <row r="104" spans="1:17" x14ac:dyDescent="0.25">
      <c r="A104" s="321"/>
      <c r="B104" s="87"/>
      <c r="C104" s="87"/>
      <c r="D104" s="86"/>
      <c r="E104" s="88" t="s">
        <v>64</v>
      </c>
      <c r="F104" s="89">
        <f>F103+F100</f>
        <v>43448938.899999999</v>
      </c>
      <c r="G104" s="89">
        <f>G103+G100</f>
        <v>0</v>
      </c>
      <c r="H104" s="89">
        <f>H103+H100</f>
        <v>24865997.729999997</v>
      </c>
      <c r="I104" s="89">
        <f>I103+I100</f>
        <v>0</v>
      </c>
      <c r="J104" s="455"/>
      <c r="K104" s="456">
        <f>K103+K100</f>
        <v>18582941.170000002</v>
      </c>
      <c r="L104" s="89">
        <f>L103+L100</f>
        <v>0</v>
      </c>
      <c r="M104" s="455"/>
      <c r="N104" s="90"/>
      <c r="O104" s="89">
        <f>O103+O100</f>
        <v>0</v>
      </c>
      <c r="P104" s="89">
        <f>P103+P100</f>
        <v>0</v>
      </c>
      <c r="Q104" s="90"/>
    </row>
    <row r="105" spans="1:17" x14ac:dyDescent="0.25">
      <c r="A105" s="321"/>
      <c r="B105" s="87"/>
      <c r="C105" s="87"/>
      <c r="D105" s="86"/>
      <c r="E105" s="88" t="s">
        <v>65</v>
      </c>
      <c r="F105" s="89">
        <f>F104-G104</f>
        <v>43448938.899999999</v>
      </c>
      <c r="G105" s="86"/>
      <c r="H105" s="456">
        <f>H104-I104</f>
        <v>24865997.729999997</v>
      </c>
      <c r="I105" s="86"/>
      <c r="J105" s="455"/>
      <c r="K105" s="456">
        <f>K104-L104</f>
        <v>18582941.170000002</v>
      </c>
      <c r="L105" s="86"/>
      <c r="M105" s="455"/>
      <c r="N105" s="86"/>
      <c r="O105" s="89">
        <f>O104-P104</f>
        <v>0</v>
      </c>
      <c r="P105" s="86"/>
      <c r="Q105" s="90"/>
    </row>
    <row r="108" spans="1:17" x14ac:dyDescent="0.25">
      <c r="A108" s="885" t="s">
        <v>19</v>
      </c>
      <c r="B108" s="893" t="s">
        <v>9</v>
      </c>
      <c r="C108" s="305"/>
      <c r="D108" s="307"/>
      <c r="E108" s="891" t="s">
        <v>20</v>
      </c>
      <c r="F108" s="888" t="s">
        <v>11</v>
      </c>
      <c r="G108" s="885" t="s">
        <v>12</v>
      </c>
      <c r="H108" s="885" t="s">
        <v>0</v>
      </c>
      <c r="I108" s="885"/>
      <c r="J108" s="885"/>
      <c r="K108" s="885" t="s">
        <v>1</v>
      </c>
      <c r="L108" s="885"/>
      <c r="M108" s="885"/>
      <c r="N108" s="307"/>
      <c r="O108" s="908" t="s">
        <v>411</v>
      </c>
      <c r="P108" s="908"/>
      <c r="Q108" s="908"/>
    </row>
    <row r="109" spans="1:17" ht="15.75" thickBot="1" x14ac:dyDescent="0.3">
      <c r="A109" s="898"/>
      <c r="B109" s="902"/>
      <c r="C109" s="306"/>
      <c r="D109" s="310"/>
      <c r="E109" s="901"/>
      <c r="F109" s="889"/>
      <c r="G109" s="898"/>
      <c r="H109" s="310" t="s">
        <v>11</v>
      </c>
      <c r="I109" s="310" t="s">
        <v>12</v>
      </c>
      <c r="J109" s="567" t="s">
        <v>21</v>
      </c>
      <c r="K109" s="612" t="s">
        <v>11</v>
      </c>
      <c r="L109" s="310" t="s">
        <v>12</v>
      </c>
      <c r="M109" s="567" t="s">
        <v>21</v>
      </c>
      <c r="N109" s="310"/>
      <c r="O109" s="318" t="s">
        <v>11</v>
      </c>
      <c r="P109" s="318" t="s">
        <v>12</v>
      </c>
      <c r="Q109" s="318" t="s">
        <v>21</v>
      </c>
    </row>
    <row r="110" spans="1:17" ht="15.75" thickTop="1" x14ac:dyDescent="0.25">
      <c r="A110" s="322">
        <v>45668</v>
      </c>
      <c r="B110" s="95"/>
      <c r="C110" s="6" t="str">
        <f t="shared" ref="C110" si="18">LEFT(E110,5)</f>
        <v>SALDO</v>
      </c>
      <c r="D110" s="20"/>
      <c r="E110" s="96" t="s">
        <v>29</v>
      </c>
      <c r="F110" s="22">
        <f>F105</f>
        <v>43448938.899999999</v>
      </c>
      <c r="G110" s="97"/>
      <c r="H110" s="97">
        <f>H105</f>
        <v>24865997.729999997</v>
      </c>
      <c r="I110" s="97"/>
      <c r="J110" s="457">
        <f>H110-I110</f>
        <v>24865997.729999997</v>
      </c>
      <c r="K110" s="613">
        <f>K105</f>
        <v>18582941.170000002</v>
      </c>
      <c r="L110" s="21"/>
      <c r="M110" s="457">
        <f>K110-L110</f>
        <v>18582941.170000002</v>
      </c>
      <c r="N110" s="97"/>
      <c r="O110" s="97">
        <f>O105</f>
        <v>0</v>
      </c>
      <c r="Q110" s="317">
        <f>O110-P110</f>
        <v>0</v>
      </c>
    </row>
    <row r="111" spans="1:17" x14ac:dyDescent="0.25">
      <c r="A111" s="323"/>
      <c r="B111" s="98"/>
      <c r="C111" s="6"/>
      <c r="D111" s="98"/>
      <c r="E111" s="117"/>
      <c r="F111" s="5"/>
      <c r="G111" s="99"/>
      <c r="H111" s="99"/>
      <c r="I111" s="99"/>
      <c r="J111" s="568">
        <f>J110+H111-I111</f>
        <v>24865997.729999997</v>
      </c>
      <c r="K111" s="614"/>
      <c r="L111" s="98"/>
      <c r="M111" s="568">
        <f t="shared" ref="M111:M113" si="19">M110+K111-L111</f>
        <v>18582941.170000002</v>
      </c>
      <c r="N111" s="98"/>
    </row>
    <row r="112" spans="1:17" x14ac:dyDescent="0.25">
      <c r="A112" s="653"/>
      <c r="B112" s="38"/>
      <c r="C112" s="6"/>
      <c r="D112" s="38"/>
      <c r="E112" s="104"/>
      <c r="F112" s="258"/>
      <c r="G112" s="497"/>
      <c r="H112" s="258"/>
      <c r="I112" s="423"/>
      <c r="J112" s="568">
        <f t="shared" ref="J112:J113" si="20">J111+H112-I112</f>
        <v>24865997.729999997</v>
      </c>
      <c r="K112" s="616"/>
      <c r="L112" s="99"/>
      <c r="M112" s="568">
        <f t="shared" si="19"/>
        <v>18582941.170000002</v>
      </c>
      <c r="N112" s="10"/>
    </row>
    <row r="113" spans="1:17" x14ac:dyDescent="0.25">
      <c r="A113" s="656" t="s">
        <v>875</v>
      </c>
      <c r="B113" s="98"/>
      <c r="C113" s="259"/>
      <c r="D113" s="260"/>
      <c r="E113" s="263"/>
      <c r="F113" s="256"/>
      <c r="G113" s="264"/>
      <c r="H113" s="265"/>
      <c r="I113" s="264"/>
      <c r="J113" s="568">
        <f t="shared" si="20"/>
        <v>24865997.729999997</v>
      </c>
      <c r="K113" s="615"/>
      <c r="L113" s="257"/>
      <c r="M113" s="568">
        <f t="shared" si="19"/>
        <v>18582941.170000002</v>
      </c>
      <c r="N113" s="257"/>
      <c r="Q113" s="317" t="e">
        <f>#REF!+O113-P113</f>
        <v>#REF!</v>
      </c>
    </row>
    <row r="114" spans="1:17" x14ac:dyDescent="0.25">
      <c r="A114" s="321"/>
      <c r="B114" s="87"/>
      <c r="C114" s="87"/>
      <c r="D114" s="86"/>
      <c r="E114" s="88" t="s">
        <v>63</v>
      </c>
      <c r="F114" s="90">
        <f>SUM(F111:F113)</f>
        <v>0</v>
      </c>
      <c r="G114" s="90">
        <f>SUM(G111:G113)</f>
        <v>0</v>
      </c>
      <c r="H114" s="90">
        <f>SUM(H111:H113)</f>
        <v>0</v>
      </c>
      <c r="I114" s="90">
        <f>SUM(I111:I113)</f>
        <v>0</v>
      </c>
      <c r="J114" s="455"/>
      <c r="K114" s="611">
        <f>SUM(K111:K113)</f>
        <v>0</v>
      </c>
      <c r="L114" s="90">
        <f>SUM(L111:L113)</f>
        <v>0</v>
      </c>
      <c r="M114" s="455"/>
      <c r="N114" s="90"/>
      <c r="O114" s="90">
        <f>SUM(O111:O113)</f>
        <v>0</v>
      </c>
      <c r="P114" s="90">
        <f>SUM(P111:P113)</f>
        <v>0</v>
      </c>
      <c r="Q114" s="90"/>
    </row>
    <row r="115" spans="1:17" x14ac:dyDescent="0.25">
      <c r="A115" s="321"/>
      <c r="B115" s="87"/>
      <c r="C115" s="87"/>
      <c r="D115" s="86"/>
      <c r="E115" s="88" t="s">
        <v>64</v>
      </c>
      <c r="F115" s="89">
        <f>F114+F110</f>
        <v>43448938.899999999</v>
      </c>
      <c r="G115" s="89">
        <f>G114+G110</f>
        <v>0</v>
      </c>
      <c r="H115" s="89">
        <f>H114+H110</f>
        <v>24865997.729999997</v>
      </c>
      <c r="I115" s="89">
        <f>I114+I110</f>
        <v>0</v>
      </c>
      <c r="J115" s="455"/>
      <c r="K115" s="456">
        <f>K114+K110</f>
        <v>18582941.170000002</v>
      </c>
      <c r="L115" s="89">
        <f>L114+L110</f>
        <v>0</v>
      </c>
      <c r="M115" s="455"/>
      <c r="N115" s="90"/>
      <c r="O115" s="89">
        <f>O114+O110</f>
        <v>0</v>
      </c>
      <c r="P115" s="89">
        <f>P114+P110</f>
        <v>0</v>
      </c>
      <c r="Q115" s="90"/>
    </row>
    <row r="116" spans="1:17" x14ac:dyDescent="0.25">
      <c r="A116" s="321"/>
      <c r="B116" s="87"/>
      <c r="C116" s="87"/>
      <c r="D116" s="86"/>
      <c r="E116" s="88" t="s">
        <v>65</v>
      </c>
      <c r="F116" s="89">
        <f>F115-G115</f>
        <v>43448938.899999999</v>
      </c>
      <c r="G116" s="86"/>
      <c r="H116" s="456">
        <f>H115-I115</f>
        <v>24865997.729999997</v>
      </c>
      <c r="I116" s="86"/>
      <c r="J116" s="455"/>
      <c r="K116" s="456">
        <f>K115-L115</f>
        <v>18582941.170000002</v>
      </c>
      <c r="L116" s="86"/>
      <c r="M116" s="455"/>
      <c r="N116" s="86"/>
      <c r="O116" s="89">
        <f>O115-P115</f>
        <v>0</v>
      </c>
      <c r="P116" s="86"/>
      <c r="Q116" s="90"/>
    </row>
    <row r="117" spans="1:17" x14ac:dyDescent="0.25">
      <c r="H117" s="342"/>
      <c r="I117" s="342"/>
    </row>
    <row r="118" spans="1:17" x14ac:dyDescent="0.25">
      <c r="H118" s="342"/>
    </row>
    <row r="119" spans="1:17" x14ac:dyDescent="0.25">
      <c r="A119" s="885" t="s">
        <v>19</v>
      </c>
      <c r="B119" s="893" t="s">
        <v>9</v>
      </c>
      <c r="C119" s="305"/>
      <c r="D119" s="307"/>
      <c r="E119" s="891" t="s">
        <v>20</v>
      </c>
      <c r="F119" s="888" t="s">
        <v>11</v>
      </c>
      <c r="G119" s="885" t="s">
        <v>12</v>
      </c>
      <c r="H119" s="885" t="s">
        <v>0</v>
      </c>
      <c r="I119" s="885"/>
      <c r="J119" s="885"/>
      <c r="K119" s="885" t="s">
        <v>1</v>
      </c>
      <c r="L119" s="885"/>
      <c r="M119" s="885"/>
      <c r="N119" s="307"/>
      <c r="O119" s="908" t="s">
        <v>411</v>
      </c>
      <c r="P119" s="908"/>
      <c r="Q119" s="908"/>
    </row>
    <row r="120" spans="1:17" ht="15.75" thickBot="1" x14ac:dyDescent="0.3">
      <c r="A120" s="898"/>
      <c r="B120" s="902"/>
      <c r="C120" s="306"/>
      <c r="D120" s="310"/>
      <c r="E120" s="901"/>
      <c r="F120" s="889"/>
      <c r="G120" s="898"/>
      <c r="H120" s="310" t="s">
        <v>11</v>
      </c>
      <c r="I120" s="310" t="s">
        <v>12</v>
      </c>
      <c r="J120" s="567" t="s">
        <v>21</v>
      </c>
      <c r="K120" s="612" t="s">
        <v>11</v>
      </c>
      <c r="L120" s="310" t="s">
        <v>12</v>
      </c>
      <c r="M120" s="567" t="s">
        <v>21</v>
      </c>
      <c r="N120" s="310"/>
      <c r="O120" s="318" t="s">
        <v>11</v>
      </c>
      <c r="P120" s="318" t="s">
        <v>12</v>
      </c>
      <c r="Q120" s="318" t="s">
        <v>21</v>
      </c>
    </row>
    <row r="121" spans="1:17" ht="15.75" thickTop="1" x14ac:dyDescent="0.25">
      <c r="A121" s="322">
        <v>45669</v>
      </c>
      <c r="B121" s="95"/>
      <c r="C121" s="6" t="str">
        <f t="shared" ref="C121" si="21">LEFT(E121,5)</f>
        <v>SALDO</v>
      </c>
      <c r="D121" s="20"/>
      <c r="E121" s="96" t="s">
        <v>29</v>
      </c>
      <c r="F121" s="317">
        <f>F116</f>
        <v>43448938.899999999</v>
      </c>
      <c r="G121" s="97"/>
      <c r="H121" s="317">
        <f>H116</f>
        <v>24865997.729999997</v>
      </c>
      <c r="I121" s="457"/>
      <c r="J121" s="457">
        <f>H121-I121</f>
        <v>24865997.729999997</v>
      </c>
      <c r="K121" s="618">
        <f>K116</f>
        <v>18582941.170000002</v>
      </c>
      <c r="L121" s="21"/>
      <c r="M121" s="457">
        <f>K121-L121</f>
        <v>18582941.170000002</v>
      </c>
      <c r="N121" s="97"/>
      <c r="O121" s="317">
        <f>O116</f>
        <v>0</v>
      </c>
      <c r="Q121" s="317">
        <f>O121-P121</f>
        <v>0</v>
      </c>
    </row>
    <row r="122" spans="1:17" ht="15.75" x14ac:dyDescent="0.25">
      <c r="A122" s="81" t="s">
        <v>876</v>
      </c>
      <c r="B122" s="38">
        <v>2003</v>
      </c>
      <c r="C122" s="6"/>
      <c r="D122" s="98"/>
      <c r="E122" s="814" t="s">
        <v>688</v>
      </c>
      <c r="F122" s="782">
        <v>15203300</v>
      </c>
      <c r="G122" s="811"/>
      <c r="H122" s="782">
        <v>15203300</v>
      </c>
      <c r="I122" s="99"/>
      <c r="J122" s="568">
        <f>J121+H122-I122</f>
        <v>40069297.729999997</v>
      </c>
      <c r="K122" s="614"/>
      <c r="L122" s="98"/>
      <c r="M122" s="568">
        <f>M121+K122-L122</f>
        <v>18582941.170000002</v>
      </c>
      <c r="N122" s="98"/>
      <c r="Q122" s="317">
        <f>Q121+O122-P122</f>
        <v>0</v>
      </c>
    </row>
    <row r="123" spans="1:17" ht="15.75" x14ac:dyDescent="0.25">
      <c r="A123" s="81" t="s">
        <v>876</v>
      </c>
      <c r="B123" s="38">
        <v>2002</v>
      </c>
      <c r="C123" s="6"/>
      <c r="D123" s="98"/>
      <c r="E123" s="814" t="s">
        <v>689</v>
      </c>
      <c r="F123" s="813">
        <v>6880000</v>
      </c>
      <c r="G123" s="811"/>
      <c r="H123" s="813">
        <v>6880000</v>
      </c>
      <c r="I123" s="99"/>
      <c r="J123" s="568">
        <f t="shared" ref="J123:J128" si="22">J122+H123-I123</f>
        <v>46949297.729999997</v>
      </c>
      <c r="K123" s="614"/>
      <c r="L123" s="98"/>
      <c r="M123" s="568">
        <f t="shared" ref="M123:M128" si="23">M122+K123-L123</f>
        <v>18582941.170000002</v>
      </c>
      <c r="N123" s="98"/>
    </row>
    <row r="124" spans="1:17" x14ac:dyDescent="0.25">
      <c r="A124" s="81" t="s">
        <v>876</v>
      </c>
      <c r="B124" s="38">
        <v>2001</v>
      </c>
      <c r="C124" s="6"/>
      <c r="D124" s="38"/>
      <c r="E124" s="815" t="s">
        <v>712</v>
      </c>
      <c r="F124" s="598">
        <v>10880000</v>
      </c>
      <c r="G124" s="811"/>
      <c r="H124" s="598">
        <v>10880000</v>
      </c>
      <c r="I124" s="99"/>
      <c r="J124" s="568">
        <f t="shared" si="22"/>
        <v>57829297.729999997</v>
      </c>
      <c r="K124" s="614"/>
      <c r="L124" s="497"/>
      <c r="M124" s="568">
        <f t="shared" si="23"/>
        <v>18582941.170000002</v>
      </c>
      <c r="N124" s="98"/>
    </row>
    <row r="125" spans="1:17" x14ac:dyDescent="0.25">
      <c r="A125" s="81"/>
      <c r="B125" s="38">
        <v>2004</v>
      </c>
      <c r="C125" s="6"/>
      <c r="D125" s="38"/>
      <c r="E125" s="815" t="s">
        <v>878</v>
      </c>
      <c r="F125" s="812">
        <v>2089850</v>
      </c>
      <c r="G125" s="811"/>
      <c r="H125" s="812">
        <v>2089850</v>
      </c>
      <c r="I125" s="99"/>
      <c r="J125" s="568">
        <f t="shared" si="22"/>
        <v>59919147.729999997</v>
      </c>
      <c r="K125" s="614"/>
      <c r="L125" s="497"/>
      <c r="M125" s="568">
        <f t="shared" si="23"/>
        <v>18582941.170000002</v>
      </c>
      <c r="N125" s="98"/>
    </row>
    <row r="126" spans="1:17" x14ac:dyDescent="0.25">
      <c r="A126" s="81" t="s">
        <v>876</v>
      </c>
      <c r="B126" s="98">
        <v>5109</v>
      </c>
      <c r="C126" s="6"/>
      <c r="D126" s="98"/>
      <c r="E126" s="794" t="s">
        <v>882</v>
      </c>
      <c r="F126" s="816"/>
      <c r="G126" s="80">
        <v>100000</v>
      </c>
      <c r="H126" s="11"/>
      <c r="I126" s="80">
        <v>100000</v>
      </c>
      <c r="J126" s="568">
        <f t="shared" si="22"/>
        <v>59819147.729999997</v>
      </c>
      <c r="K126" s="614"/>
      <c r="L126" s="98"/>
      <c r="M126" s="568">
        <f t="shared" si="23"/>
        <v>18582941.170000002</v>
      </c>
      <c r="N126" s="98"/>
    </row>
    <row r="127" spans="1:17" x14ac:dyDescent="0.25">
      <c r="A127" s="653" t="s">
        <v>909</v>
      </c>
      <c r="B127" s="34">
        <v>1002</v>
      </c>
      <c r="C127" s="6"/>
      <c r="D127" s="98"/>
      <c r="E127" s="794" t="s">
        <v>908</v>
      </c>
      <c r="F127" s="552">
        <v>216700000</v>
      </c>
      <c r="G127" s="80"/>
      <c r="H127" s="11"/>
      <c r="I127" s="80"/>
      <c r="J127" s="568">
        <f t="shared" si="22"/>
        <v>59819147.729999997</v>
      </c>
      <c r="K127" s="552">
        <v>216700000</v>
      </c>
      <c r="L127" s="98"/>
      <c r="M127" s="568">
        <f t="shared" si="23"/>
        <v>235282941.17000002</v>
      </c>
      <c r="N127" s="98"/>
    </row>
    <row r="128" spans="1:17" x14ac:dyDescent="0.25">
      <c r="A128" s="653" t="s">
        <v>881</v>
      </c>
      <c r="B128" s="98">
        <v>5104</v>
      </c>
      <c r="C128" s="6"/>
      <c r="D128" s="38"/>
      <c r="E128" s="106" t="s">
        <v>907</v>
      </c>
      <c r="F128" s="11"/>
      <c r="G128" s="80">
        <v>300000</v>
      </c>
      <c r="H128" s="11"/>
      <c r="I128" s="80">
        <v>300000</v>
      </c>
      <c r="J128" s="568">
        <f t="shared" si="22"/>
        <v>59519147.729999997</v>
      </c>
      <c r="K128" s="616"/>
      <c r="L128" s="99"/>
      <c r="M128" s="568">
        <f t="shared" si="23"/>
        <v>235282941.17000002</v>
      </c>
      <c r="N128" s="10"/>
      <c r="Q128" s="317" t="e">
        <f>#REF!+O128-P128</f>
        <v>#REF!</v>
      </c>
    </row>
    <row r="129" spans="1:17" x14ac:dyDescent="0.25">
      <c r="A129" s="653" t="s">
        <v>879</v>
      </c>
      <c r="B129" s="98"/>
      <c r="C129" s="259"/>
      <c r="D129" s="260"/>
      <c r="E129" s="104" t="s">
        <v>880</v>
      </c>
      <c r="F129" s="319"/>
      <c r="G129" s="264">
        <v>8000000</v>
      </c>
      <c r="H129" s="319"/>
      <c r="I129" s="264">
        <v>8000000</v>
      </c>
      <c r="J129" s="568">
        <f t="shared" ref="J129" si="24">J128+H129-I129</f>
        <v>51519147.729999997</v>
      </c>
      <c r="K129" s="615">
        <v>8000000</v>
      </c>
      <c r="L129" s="257"/>
      <c r="M129" s="568">
        <f t="shared" ref="M129" si="25">M128+K129-L129</f>
        <v>243282941.17000002</v>
      </c>
      <c r="N129" s="257"/>
      <c r="Q129" s="317" t="e">
        <f t="shared" ref="Q129" si="26">Q128+O129-P129</f>
        <v>#REF!</v>
      </c>
    </row>
    <row r="130" spans="1:17" x14ac:dyDescent="0.25">
      <c r="A130" s="321"/>
      <c r="B130" s="87"/>
      <c r="C130" s="87"/>
      <c r="D130" s="86"/>
      <c r="E130" s="88" t="s">
        <v>63</v>
      </c>
      <c r="F130" s="90">
        <f>SUM(F122:F129)</f>
        <v>251753150</v>
      </c>
      <c r="G130" s="90">
        <f>SUM(G122:G129)</f>
        <v>8400000</v>
      </c>
      <c r="H130" s="90">
        <f>SUM(H122:H129)</f>
        <v>35053150</v>
      </c>
      <c r="I130" s="90">
        <f>SUM(I122:I129)</f>
        <v>8400000</v>
      </c>
      <c r="J130" s="455"/>
      <c r="K130" s="611">
        <f>SUM(K122:K129)</f>
        <v>224700000</v>
      </c>
      <c r="L130" s="90">
        <f>SUM(L122:L129)</f>
        <v>0</v>
      </c>
      <c r="M130" s="455"/>
      <c r="N130" s="90"/>
      <c r="O130" s="90">
        <f>SUM(O122:O129)</f>
        <v>0</v>
      </c>
      <c r="P130" s="90">
        <f>SUM(P122:P129)</f>
        <v>0</v>
      </c>
      <c r="Q130" s="90"/>
    </row>
    <row r="131" spans="1:17" x14ac:dyDescent="0.25">
      <c r="A131" s="321"/>
      <c r="B131" s="87"/>
      <c r="C131" s="87"/>
      <c r="D131" s="86"/>
      <c r="E131" s="88" t="s">
        <v>64</v>
      </c>
      <c r="F131" s="89">
        <f>F130+F121</f>
        <v>295202088.89999998</v>
      </c>
      <c r="G131" s="89">
        <f>G130+G121</f>
        <v>8400000</v>
      </c>
      <c r="H131" s="89">
        <f>H130+H121</f>
        <v>59919147.729999997</v>
      </c>
      <c r="I131" s="89">
        <f>I130+I121</f>
        <v>8400000</v>
      </c>
      <c r="J131" s="455"/>
      <c r="K131" s="456">
        <f>K130+K121</f>
        <v>243282941.17000002</v>
      </c>
      <c r="L131" s="89">
        <f>L130+L121</f>
        <v>0</v>
      </c>
      <c r="M131" s="455"/>
      <c r="N131" s="90"/>
      <c r="O131" s="89">
        <f>O130+O121</f>
        <v>0</v>
      </c>
      <c r="P131" s="89">
        <f>P130+P121</f>
        <v>0</v>
      </c>
      <c r="Q131" s="90"/>
    </row>
    <row r="132" spans="1:17" x14ac:dyDescent="0.25">
      <c r="A132" s="321"/>
      <c r="B132" s="87"/>
      <c r="C132" s="87"/>
      <c r="D132" s="86"/>
      <c r="E132" s="88" t="s">
        <v>65</v>
      </c>
      <c r="F132" s="89">
        <f>F131-G131</f>
        <v>286802088.89999998</v>
      </c>
      <c r="G132" s="86"/>
      <c r="H132" s="598">
        <f>H131-I131</f>
        <v>51519147.729999997</v>
      </c>
      <c r="I132" s="86"/>
      <c r="J132" s="455"/>
      <c r="K132" s="456">
        <f>K131-L131</f>
        <v>243282941.17000002</v>
      </c>
      <c r="L132" s="86"/>
      <c r="M132" s="455"/>
      <c r="N132" s="86"/>
      <c r="O132" s="89">
        <f>O131-P131</f>
        <v>0</v>
      </c>
      <c r="P132" s="86"/>
      <c r="Q132" s="90"/>
    </row>
    <row r="133" spans="1:17" x14ac:dyDescent="0.25">
      <c r="H133" s="342"/>
      <c r="K133" s="607">
        <f>H132+K132</f>
        <v>294802088.90000004</v>
      </c>
    </row>
    <row r="134" spans="1:17" x14ac:dyDescent="0.25">
      <c r="G134" s="268"/>
      <c r="H134" s="268"/>
      <c r="L134" s="251"/>
    </row>
    <row r="135" spans="1:17" x14ac:dyDescent="0.25">
      <c r="G135" t="s">
        <v>125</v>
      </c>
      <c r="H135" s="1"/>
      <c r="I135" s="1"/>
      <c r="K135" s="606"/>
    </row>
    <row r="136" spans="1:17" x14ac:dyDescent="0.25">
      <c r="H136" s="1"/>
      <c r="I136" s="1"/>
      <c r="K136" s="606"/>
    </row>
    <row r="137" spans="1:17" x14ac:dyDescent="0.25">
      <c r="H137" s="1"/>
      <c r="I137" s="1"/>
      <c r="K137" s="606"/>
    </row>
    <row r="138" spans="1:17" x14ac:dyDescent="0.25">
      <c r="H138" s="1"/>
      <c r="I138" s="1"/>
      <c r="K138" s="606"/>
    </row>
    <row r="139" spans="1:17" ht="17.25" x14ac:dyDescent="0.4">
      <c r="G139" s="563" t="str">
        <f>NERACA!I39</f>
        <v>DODIK SUSANTO, S.Fil.I</v>
      </c>
      <c r="H139" s="1"/>
      <c r="I139" s="25"/>
      <c r="K139" s="620" t="s">
        <v>231</v>
      </c>
    </row>
    <row r="140" spans="1:17" x14ac:dyDescent="0.25">
      <c r="G140" t="s">
        <v>232</v>
      </c>
      <c r="H140" s="1"/>
      <c r="I140" s="1"/>
      <c r="K140" s="606" t="s">
        <v>233</v>
      </c>
    </row>
  </sheetData>
  <mergeCells count="95">
    <mergeCell ref="K5:M5"/>
    <mergeCell ref="A5:A6"/>
    <mergeCell ref="B5:B6"/>
    <mergeCell ref="E5:E6"/>
    <mergeCell ref="F5:G5"/>
    <mergeCell ref="H5:J5"/>
    <mergeCell ref="H21:J21"/>
    <mergeCell ref="K21:M21"/>
    <mergeCell ref="A13:A14"/>
    <mergeCell ref="B13:B14"/>
    <mergeCell ref="E13:E14"/>
    <mergeCell ref="F13:F14"/>
    <mergeCell ref="G13:G14"/>
    <mergeCell ref="H13:J13"/>
    <mergeCell ref="O5:Q5"/>
    <mergeCell ref="O13:Q13"/>
    <mergeCell ref="O21:Q21"/>
    <mergeCell ref="A29:A30"/>
    <mergeCell ref="B29:B30"/>
    <mergeCell ref="E29:E30"/>
    <mergeCell ref="F29:F30"/>
    <mergeCell ref="G29:G30"/>
    <mergeCell ref="H29:J29"/>
    <mergeCell ref="K29:M29"/>
    <mergeCell ref="K13:M13"/>
    <mergeCell ref="A21:A22"/>
    <mergeCell ref="B21:B22"/>
    <mergeCell ref="E21:E22"/>
    <mergeCell ref="F21:F22"/>
    <mergeCell ref="G21:G22"/>
    <mergeCell ref="O29:Q29"/>
    <mergeCell ref="A38:A39"/>
    <mergeCell ref="B38:B39"/>
    <mergeCell ref="E38:E39"/>
    <mergeCell ref="F38:F39"/>
    <mergeCell ref="G38:G39"/>
    <mergeCell ref="H38:J38"/>
    <mergeCell ref="K38:M38"/>
    <mergeCell ref="O38:Q38"/>
    <mergeCell ref="K48:M48"/>
    <mergeCell ref="O48:Q48"/>
    <mergeCell ref="A58:A59"/>
    <mergeCell ref="B58:B59"/>
    <mergeCell ref="E58:E59"/>
    <mergeCell ref="F58:F59"/>
    <mergeCell ref="G58:G59"/>
    <mergeCell ref="H58:J58"/>
    <mergeCell ref="K58:M58"/>
    <mergeCell ref="O58:Q58"/>
    <mergeCell ref="A48:A49"/>
    <mergeCell ref="B48:B49"/>
    <mergeCell ref="E48:E49"/>
    <mergeCell ref="F48:F49"/>
    <mergeCell ref="G48:G49"/>
    <mergeCell ref="H48:J48"/>
    <mergeCell ref="K68:M68"/>
    <mergeCell ref="O68:Q68"/>
    <mergeCell ref="A78:A79"/>
    <mergeCell ref="B78:B79"/>
    <mergeCell ref="E78:E79"/>
    <mergeCell ref="F78:F79"/>
    <mergeCell ref="G78:G79"/>
    <mergeCell ref="H78:J78"/>
    <mergeCell ref="K78:M78"/>
    <mergeCell ref="O78:Q78"/>
    <mergeCell ref="A68:A69"/>
    <mergeCell ref="B68:B69"/>
    <mergeCell ref="E68:E69"/>
    <mergeCell ref="F68:F69"/>
    <mergeCell ref="G68:G69"/>
    <mergeCell ref="H68:J68"/>
    <mergeCell ref="K98:M98"/>
    <mergeCell ref="O98:Q98"/>
    <mergeCell ref="A108:A109"/>
    <mergeCell ref="B108:B109"/>
    <mergeCell ref="E108:E109"/>
    <mergeCell ref="F108:F109"/>
    <mergeCell ref="G108:G109"/>
    <mergeCell ref="H108:J108"/>
    <mergeCell ref="K108:M108"/>
    <mergeCell ref="O108:Q108"/>
    <mergeCell ref="A98:A99"/>
    <mergeCell ref="B98:B99"/>
    <mergeCell ref="E98:E99"/>
    <mergeCell ref="F98:F99"/>
    <mergeCell ref="G98:G99"/>
    <mergeCell ref="H98:J98"/>
    <mergeCell ref="K119:M119"/>
    <mergeCell ref="O119:Q119"/>
    <mergeCell ref="A119:A120"/>
    <mergeCell ref="B119:B120"/>
    <mergeCell ref="E119:E120"/>
    <mergeCell ref="F119:F120"/>
    <mergeCell ref="G119:G120"/>
    <mergeCell ref="H119:J119"/>
  </mergeCells>
  <pageMargins left="0.49" right="0.7" top="0.75" bottom="0.75" header="0.3" footer="0.3"/>
  <pageSetup paperSize="5" scale="94" orientation="landscape" horizontalDpi="1200" verticalDpi="1200" r:id="rId1"/>
  <rowBreaks count="3" manualBreakCount="3">
    <brk id="35" max="12" man="1"/>
    <brk id="67" max="12" man="1"/>
    <brk id="107" max="12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I80"/>
  <sheetViews>
    <sheetView view="pageBreakPreview" topLeftCell="B32" zoomScale="148" zoomScaleNormal="77" zoomScaleSheetLayoutView="148" workbookViewId="0">
      <selection activeCell="D54" sqref="D54"/>
    </sheetView>
  </sheetViews>
  <sheetFormatPr defaultColWidth="9" defaultRowHeight="15" x14ac:dyDescent="0.25"/>
  <cols>
    <col min="1" max="1" width="0" hidden="1"/>
    <col min="2" max="2" width="10"/>
    <col min="3" max="3" width="50.28515625" customWidth="1"/>
    <col min="4" max="4" width="21.42578125" customWidth="1"/>
    <col min="5" max="5" width="22.28515625" customWidth="1"/>
    <col min="6" max="6" width="1.140625" hidden="1" customWidth="1"/>
    <col min="7" max="7" width="23.85546875" style="28" customWidth="1"/>
    <col min="8" max="8" width="15.28515625" customWidth="1"/>
    <col min="9" max="9" width="20" customWidth="1"/>
    <col min="10" max="256" width="10" customWidth="1"/>
    <col min="257" max="257" width="9" customWidth="1"/>
  </cols>
  <sheetData>
    <row r="1" spans="2:9" ht="19.5" x14ac:dyDescent="0.3">
      <c r="B1" s="29" t="s">
        <v>355</v>
      </c>
    </row>
    <row r="2" spans="2:9" ht="18.75" x14ac:dyDescent="0.3">
      <c r="B2" s="26" t="s">
        <v>356</v>
      </c>
    </row>
    <row r="3" spans="2:9" x14ac:dyDescent="0.25">
      <c r="B3" s="30" t="s">
        <v>748</v>
      </c>
    </row>
    <row r="4" spans="2:9" ht="19.5" x14ac:dyDescent="0.3">
      <c r="B4" s="2"/>
    </row>
    <row r="5" spans="2:9" ht="19.5" x14ac:dyDescent="0.3">
      <c r="B5" s="29" t="s">
        <v>486</v>
      </c>
    </row>
    <row r="7" spans="2:9" s="31" customFormat="1" x14ac:dyDescent="0.25">
      <c r="B7" s="856" t="s">
        <v>9</v>
      </c>
      <c r="C7" s="856" t="s">
        <v>20</v>
      </c>
      <c r="D7" s="912" t="s">
        <v>731</v>
      </c>
      <c r="E7" s="912"/>
      <c r="F7" s="912"/>
      <c r="G7" s="860" t="s">
        <v>93</v>
      </c>
    </row>
    <row r="8" spans="2:9" s="31" customFormat="1" x14ac:dyDescent="0.25">
      <c r="B8" s="856"/>
      <c r="C8" s="856"/>
      <c r="D8" s="32" t="s">
        <v>16</v>
      </c>
      <c r="E8" s="32" t="s">
        <v>14</v>
      </c>
      <c r="F8" s="32"/>
      <c r="G8" s="860"/>
    </row>
    <row r="9" spans="2:9" ht="3" customHeight="1" x14ac:dyDescent="0.25">
      <c r="B9" s="255"/>
      <c r="C9" s="255"/>
      <c r="D9" s="3"/>
      <c r="E9" s="3"/>
      <c r="F9" s="3"/>
      <c r="G9" s="33"/>
    </row>
    <row r="10" spans="2:9" s="30" customFormat="1" x14ac:dyDescent="0.25">
      <c r="B10" s="34">
        <v>1000</v>
      </c>
      <c r="C10" s="34" t="s">
        <v>82</v>
      </c>
      <c r="D10" s="40">
        <f>SUMIF('cth sp'!$B$9:$B$107,B10,'cth sp'!$E$9:$E$107)</f>
        <v>0</v>
      </c>
      <c r="E10" s="40">
        <f>SUMIF('cth sp'!$B$114:$B$158,B10,'cth sp'!$E$114:$E$158)</f>
        <v>0</v>
      </c>
      <c r="F10" s="35"/>
      <c r="G10" s="36">
        <f>SUM(D10:F10)</f>
        <v>0</v>
      </c>
    </row>
    <row r="11" spans="2:9" s="30" customFormat="1" x14ac:dyDescent="0.25">
      <c r="B11" s="34"/>
      <c r="C11" s="34"/>
      <c r="D11" s="35"/>
      <c r="E11" s="35"/>
      <c r="F11" s="35"/>
      <c r="G11" s="36"/>
    </row>
    <row r="12" spans="2:9" s="30" customFormat="1" x14ac:dyDescent="0.25">
      <c r="B12" s="34">
        <v>2000</v>
      </c>
      <c r="C12" s="34" t="s">
        <v>6</v>
      </c>
      <c r="D12" s="35">
        <f>SUM(D13:D14)</f>
        <v>25000000</v>
      </c>
      <c r="E12" s="35">
        <f t="shared" ref="E12:G12" si="0">SUM(E13:E14)</f>
        <v>9000000</v>
      </c>
      <c r="F12" s="35">
        <f t="shared" si="0"/>
        <v>0</v>
      </c>
      <c r="G12" s="35">
        <f t="shared" si="0"/>
        <v>34000000</v>
      </c>
    </row>
    <row r="13" spans="2:9" s="37" customFormat="1" x14ac:dyDescent="0.25">
      <c r="B13" s="38">
        <v>2001</v>
      </c>
      <c r="C13" s="39" t="s">
        <v>84</v>
      </c>
      <c r="D13" s="40">
        <f>SUMIF('cth sp'!$B$9:$B$107,B13,'cth sp'!$E$9:$E$107)</f>
        <v>20000000</v>
      </c>
      <c r="E13" s="40">
        <f>SUMIF('cth sp'!$B$114:$B$158,B13,'cth sp'!$E$114:$E$158)</f>
        <v>9000000</v>
      </c>
      <c r="F13" s="40">
        <f>SUMIF('cth sp'!$B$165:$B$389,B13,'cth sp'!$E$165:$E$389)</f>
        <v>0</v>
      </c>
      <c r="G13" s="41">
        <f>SUM(D13:F13)</f>
        <v>29000000</v>
      </c>
    </row>
    <row r="14" spans="2:9" x14ac:dyDescent="0.25">
      <c r="B14" s="98">
        <v>2002</v>
      </c>
      <c r="C14" s="42" t="s">
        <v>86</v>
      </c>
      <c r="D14" s="40">
        <f>SUMIF('cth sp'!$B$9:$B$107,B14,'cth sp'!$E$9:$E$107)</f>
        <v>5000000</v>
      </c>
      <c r="E14" s="40">
        <f>SUMIF('cth sp'!$B$114:$B$158,B14,'cth sp'!$E$114:$E$158)</f>
        <v>0</v>
      </c>
      <c r="F14" s="40">
        <f>SUMIF('cth sp'!$B$165:$B$389,B14,'cth sp'!$E$165:$E$389)</f>
        <v>0</v>
      </c>
      <c r="G14" s="36">
        <f>SUM(D14:F14)</f>
        <v>5000000</v>
      </c>
      <c r="H14" s="43"/>
    </row>
    <row r="15" spans="2:9" x14ac:dyDescent="0.25">
      <c r="B15" s="98"/>
      <c r="C15" s="42"/>
      <c r="D15" s="44"/>
      <c r="E15" s="44"/>
      <c r="F15" s="44"/>
      <c r="G15" s="36"/>
    </row>
    <row r="16" spans="2:9" s="30" customFormat="1" x14ac:dyDescent="0.25">
      <c r="B16" s="276">
        <v>3000</v>
      </c>
      <c r="C16" s="276" t="s">
        <v>87</v>
      </c>
      <c r="D16" s="277">
        <f>D17+D20</f>
        <v>600000</v>
      </c>
      <c r="E16" s="277">
        <f t="shared" ref="E16:G16" si="1">E17+E20</f>
        <v>270000</v>
      </c>
      <c r="F16" s="277">
        <f t="shared" si="1"/>
        <v>0</v>
      </c>
      <c r="G16" s="277">
        <f t="shared" si="1"/>
        <v>870000</v>
      </c>
      <c r="I16" s="64"/>
    </row>
    <row r="17" spans="1:9" x14ac:dyDescent="0.25">
      <c r="B17" s="98">
        <v>3001</v>
      </c>
      <c r="C17" s="42" t="s">
        <v>88</v>
      </c>
      <c r="D17" s="40">
        <f>SUM(D18:D19)</f>
        <v>600000</v>
      </c>
      <c r="E17" s="40">
        <f t="shared" ref="E17:F17" si="2">SUM(E18:E19)</f>
        <v>270000</v>
      </c>
      <c r="F17" s="40">
        <f t="shared" si="2"/>
        <v>0</v>
      </c>
      <c r="G17" s="40">
        <f>SUM(G18:G19)</f>
        <v>870000</v>
      </c>
      <c r="H17" s="45"/>
    </row>
    <row r="18" spans="1:9" x14ac:dyDescent="0.25">
      <c r="B18" s="46" t="s">
        <v>202</v>
      </c>
      <c r="C18" s="42" t="s">
        <v>200</v>
      </c>
      <c r="D18" s="40">
        <f>SUMIF('cth sp'!$B$9:$B$107,B18,'cth sp'!$E$9:$E$107)</f>
        <v>0</v>
      </c>
      <c r="E18" s="40">
        <f>SUMIF('cth sp'!$B$114:$B$158,B18,'cth sp'!$E$114:$E$158)</f>
        <v>0</v>
      </c>
      <c r="F18" s="40">
        <f>SUMIF('cth sp'!$B$165:$B$389,B18,'cth sp'!$E$165:$E$389)</f>
        <v>0</v>
      </c>
      <c r="G18" s="36">
        <f>SUM(D18:F18)</f>
        <v>0</v>
      </c>
      <c r="H18" s="45"/>
    </row>
    <row r="19" spans="1:9" x14ac:dyDescent="0.25">
      <c r="B19" s="46" t="s">
        <v>203</v>
      </c>
      <c r="C19" s="42" t="s">
        <v>201</v>
      </c>
      <c r="D19" s="40">
        <f>SUMIF('cth sp'!$B$9:$B$107,B19,'cth sp'!$E$9:$E$107)</f>
        <v>600000</v>
      </c>
      <c r="E19" s="40">
        <f>SUMIF('cth sp'!$B$114:$B$158,B19,'cth sp'!$E$114:$E$158)</f>
        <v>270000</v>
      </c>
      <c r="F19" s="40">
        <f>SUMIF('cth sp'!$B$165:$B$389,B19,'cth sp'!$E$165:$E$389)</f>
        <v>0</v>
      </c>
      <c r="G19" s="36">
        <f>SUM(D19:F19)</f>
        <v>870000</v>
      </c>
      <c r="H19" s="45"/>
    </row>
    <row r="20" spans="1:9" x14ac:dyDescent="0.25">
      <c r="B20" s="98">
        <v>3002</v>
      </c>
      <c r="C20" s="42" t="s">
        <v>89</v>
      </c>
      <c r="D20" s="40">
        <f>SUMIF('cth sp'!$B$9:$B$107,B20,'cth sp'!$E$9:$E$107)</f>
        <v>0</v>
      </c>
      <c r="E20" s="40">
        <f>SUMIF('cth sp'!$B$114:$B$158,B20,'cth sp'!$E$114:$E$158)</f>
        <v>0</v>
      </c>
      <c r="F20" s="40">
        <f>SUMIF('cth sp'!$B$165:$B$389,B20,'cth sp'!$E$165:$E$389)</f>
        <v>0</v>
      </c>
      <c r="G20" s="36">
        <f>SUM(D20:F20)</f>
        <v>0</v>
      </c>
      <c r="H20" s="45"/>
    </row>
    <row r="21" spans="1:9" x14ac:dyDescent="0.25">
      <c r="A21" s="47"/>
      <c r="B21" s="98"/>
      <c r="C21" s="42"/>
      <c r="D21" s="44"/>
      <c r="E21" s="44"/>
      <c r="F21" s="44"/>
      <c r="G21" s="36"/>
    </row>
    <row r="22" spans="1:9" s="30" customFormat="1" x14ac:dyDescent="0.25">
      <c r="A22" s="48"/>
      <c r="B22" s="49">
        <v>4000</v>
      </c>
      <c r="C22" s="49" t="s">
        <v>90</v>
      </c>
      <c r="D22" s="50">
        <f>D23+D26</f>
        <v>2800000</v>
      </c>
      <c r="E22" s="50">
        <f t="shared" ref="E22:F22" si="3">E23+E26</f>
        <v>1590000</v>
      </c>
      <c r="F22" s="50">
        <f t="shared" si="3"/>
        <v>0</v>
      </c>
      <c r="G22" s="50">
        <f>G23+G26</f>
        <v>4390000</v>
      </c>
      <c r="H22" s="64"/>
    </row>
    <row r="23" spans="1:9" s="52" customFormat="1" x14ac:dyDescent="0.25">
      <c r="B23" s="53">
        <v>4100</v>
      </c>
      <c r="C23" s="54" t="s">
        <v>205</v>
      </c>
      <c r="D23" s="55">
        <f>SUM(D24:D25)</f>
        <v>2200000</v>
      </c>
      <c r="E23" s="55">
        <f>SUM(E24:E25)</f>
        <v>990000</v>
      </c>
      <c r="F23" s="55">
        <f t="shared" ref="F23" si="4">SUM(F24:F25)</f>
        <v>0</v>
      </c>
      <c r="G23" s="55">
        <f>SUM(G24:G25)</f>
        <v>3190000</v>
      </c>
      <c r="H23" s="251"/>
    </row>
    <row r="24" spans="1:9" x14ac:dyDescent="0.25">
      <c r="B24" s="98">
        <v>4101</v>
      </c>
      <c r="C24" s="57" t="s">
        <v>101</v>
      </c>
      <c r="D24" s="40">
        <f>SUMIF('cth sp'!$B$9:$B$107,B24,'cth sp'!$E$9:$E$107)</f>
        <v>1800000</v>
      </c>
      <c r="E24" s="40">
        <f>SUMIF('cth sp'!$B$114:$B$158,B24,'cth sp'!$E$114:$E$158)</f>
        <v>810000</v>
      </c>
      <c r="F24" s="40">
        <f>SUMIF('cth sp'!$B$165:$B$389,B24,'cth sp'!$E$165:$E$389)</f>
        <v>0</v>
      </c>
      <c r="G24" s="36">
        <f>SUM(D24:F24)</f>
        <v>2610000</v>
      </c>
      <c r="H24" s="43">
        <f>SUM(D24:D25)</f>
        <v>2200000</v>
      </c>
      <c r="I24" s="342">
        <f>D24-E24</f>
        <v>990000</v>
      </c>
    </row>
    <row r="25" spans="1:9" x14ac:dyDescent="0.25">
      <c r="B25" s="98">
        <v>4102</v>
      </c>
      <c r="C25" s="57" t="s">
        <v>204</v>
      </c>
      <c r="D25" s="40">
        <f>SUMIF('cth sp'!$B$9:$B$107,B25,'cth sp'!$E$9:$E$107)</f>
        <v>400000</v>
      </c>
      <c r="E25" s="40">
        <f>SUMIF('cth sp'!$B$114:$B$158,B25,'cth sp'!$E$114:$E$158)</f>
        <v>180000</v>
      </c>
      <c r="F25" s="40">
        <f>SUMIF('cth sp'!$B$165:$B$389,B25,'cth sp'!$E$165:$E$389)</f>
        <v>0</v>
      </c>
      <c r="G25" s="36">
        <f t="shared" ref="G25:G26" si="5">SUM(D25:F25)</f>
        <v>580000</v>
      </c>
      <c r="H25" s="43">
        <f>D19+H24</f>
        <v>2800000</v>
      </c>
      <c r="I25" s="342">
        <f>I24-600000</f>
        <v>390000</v>
      </c>
    </row>
    <row r="26" spans="1:9" x14ac:dyDescent="0.25">
      <c r="B26" s="98">
        <v>4103</v>
      </c>
      <c r="C26" s="57" t="s">
        <v>198</v>
      </c>
      <c r="D26" s="40">
        <f>SUMIF('cth sp'!$B$9:$B$107,B26,'cth sp'!$E$9:$E$107)</f>
        <v>600000</v>
      </c>
      <c r="E26" s="40">
        <f>SUMIF('cth sp'!$B$114:$B$158,B26,'cth sp'!$E$114:$E$158)</f>
        <v>600000</v>
      </c>
      <c r="F26" s="40">
        <f>SUMIF('cth sp'!$B$165:$B$389,B26,'cth sp'!$E$165:$E$389)</f>
        <v>0</v>
      </c>
      <c r="G26" s="36">
        <f t="shared" si="5"/>
        <v>1200000</v>
      </c>
      <c r="H26" s="43">
        <f>H25-7920000</f>
        <v>-5120000</v>
      </c>
      <c r="I26" s="342">
        <v>90000</v>
      </c>
    </row>
    <row r="27" spans="1:9" s="52" customFormat="1" x14ac:dyDescent="0.25">
      <c r="B27" s="53">
        <v>4900</v>
      </c>
      <c r="C27" s="54" t="s">
        <v>92</v>
      </c>
      <c r="D27" s="55">
        <f>SUM(D28:D28)</f>
        <v>0</v>
      </c>
      <c r="E27" s="55">
        <f>SUM(E28:E28)</f>
        <v>0</v>
      </c>
      <c r="F27" s="55">
        <f>SUM(F28:F28)</f>
        <v>0</v>
      </c>
      <c r="G27" s="56">
        <f>SUM(G28:G28)</f>
        <v>0</v>
      </c>
      <c r="H27" s="494">
        <f>H25-H26</f>
        <v>7920000</v>
      </c>
      <c r="I27" s="251">
        <f>I24/I26</f>
        <v>11</v>
      </c>
    </row>
    <row r="28" spans="1:9" s="52" customFormat="1" x14ac:dyDescent="0.25">
      <c r="B28" s="53">
        <v>4901</v>
      </c>
      <c r="C28" s="54" t="s">
        <v>91</v>
      </c>
      <c r="D28" s="55">
        <f>SUMIF('cth sp'!$B$9:$B$84,B28,'cth sp'!$E$9:$E$84)</f>
        <v>0</v>
      </c>
      <c r="E28" s="40">
        <f>SUMIF('cth sp'!$B$114:$B$158,B28,'cth sp'!$E$114:$E$158)</f>
        <v>0</v>
      </c>
      <c r="F28" s="40">
        <f>SUMIF('cth sp'!$B$165:$B$389,B28,'cth sp'!$E$165:$E$389)</f>
        <v>0</v>
      </c>
      <c r="G28" s="56">
        <f>SUM(D28:F28)</f>
        <v>0</v>
      </c>
    </row>
    <row r="29" spans="1:9" x14ac:dyDescent="0.25">
      <c r="B29" s="98"/>
      <c r="C29" s="57"/>
      <c r="D29" s="44"/>
      <c r="E29" s="44"/>
      <c r="F29" s="44"/>
      <c r="G29" s="36"/>
    </row>
    <row r="30" spans="1:9" s="30" customFormat="1" x14ac:dyDescent="0.25">
      <c r="B30" s="49"/>
      <c r="C30" s="58" t="s">
        <v>102</v>
      </c>
      <c r="D30" s="59">
        <f>D10+D12+D16+D22</f>
        <v>28400000</v>
      </c>
      <c r="E30" s="59">
        <f>E10+E12+E16+E22+E28+E27</f>
        <v>10860000</v>
      </c>
      <c r="F30" s="59">
        <f>F10+F12+F16+F22+F28+F27</f>
        <v>0</v>
      </c>
      <c r="G30" s="60">
        <f>G10+G12+G16+G22+G28+G27</f>
        <v>39260000</v>
      </c>
      <c r="H30" s="64">
        <f>E30-'cth sp'!G159</f>
        <v>0</v>
      </c>
    </row>
    <row r="31" spans="1:9" x14ac:dyDescent="0.25">
      <c r="B31" s="98"/>
      <c r="C31" s="98"/>
      <c r="D31" s="44"/>
      <c r="E31" s="62"/>
      <c r="F31" s="98"/>
      <c r="G31" s="56">
        <f>SUM(D31:F31)</f>
        <v>0</v>
      </c>
    </row>
    <row r="32" spans="1:9" x14ac:dyDescent="0.25">
      <c r="B32" s="61">
        <v>5000</v>
      </c>
      <c r="C32" s="61" t="s">
        <v>85</v>
      </c>
      <c r="D32" s="60">
        <f>D33</f>
        <v>0</v>
      </c>
      <c r="E32" s="60">
        <f t="shared" ref="E32:F32" si="6">E33</f>
        <v>0</v>
      </c>
      <c r="F32" s="60">
        <f t="shared" si="6"/>
        <v>0</v>
      </c>
      <c r="G32" s="60">
        <f>G33</f>
        <v>0</v>
      </c>
      <c r="I32" s="342">
        <f>D25/20000</f>
        <v>20</v>
      </c>
    </row>
    <row r="33" spans="2:9" x14ac:dyDescent="0.25">
      <c r="B33" s="98">
        <v>5100</v>
      </c>
      <c r="C33" s="34" t="s">
        <v>94</v>
      </c>
      <c r="D33" s="62">
        <f>SUM(D34:D39)</f>
        <v>0</v>
      </c>
      <c r="E33" s="62">
        <f>SUM(E34:E39)</f>
        <v>0</v>
      </c>
      <c r="F33" s="62">
        <f t="shared" ref="F33" si="7">SUM(F34:F39)</f>
        <v>0</v>
      </c>
      <c r="G33" s="36">
        <f>SUM(G34:G39)</f>
        <v>0</v>
      </c>
    </row>
    <row r="34" spans="2:9" x14ac:dyDescent="0.25">
      <c r="B34" s="98">
        <v>5101</v>
      </c>
      <c r="C34" s="98" t="s">
        <v>95</v>
      </c>
      <c r="D34" s="40">
        <f>SUMIF('cth sp'!$B$9:$B$107,B34,'cth sp'!$F$9:$F$107)</f>
        <v>0</v>
      </c>
      <c r="E34" s="40">
        <f>SUMIF('cth sp'!$B$114:$B$158,B34,'cth sp'!$F$114:$F$158)</f>
        <v>0</v>
      </c>
      <c r="F34" s="40">
        <f>SUMIF('cth sp'!$B$165:$B$389,B34,'cth sp'!$F$165:$F$389)</f>
        <v>0</v>
      </c>
      <c r="G34" s="56">
        <f t="shared" ref="G34:G39" si="8">SUM(D34:F34)</f>
        <v>0</v>
      </c>
    </row>
    <row r="35" spans="2:9" x14ac:dyDescent="0.25">
      <c r="B35" s="98">
        <v>5102</v>
      </c>
      <c r="C35" s="98" t="s">
        <v>96</v>
      </c>
      <c r="D35" s="40">
        <f>SUMIF('cth sp'!$B$9:$B$107,B35,'cth sp'!$F$9:$F$107)</f>
        <v>0</v>
      </c>
      <c r="E35" s="40">
        <f>SUMIF('cth sp'!$B$114:$B$158,B35,'cth sp'!$F$114:$F$158)</f>
        <v>0</v>
      </c>
      <c r="F35" s="40">
        <f>SUMIF('cth sp'!$B$165:$B$389,B35,'cth sp'!$F$165:$F$389)</f>
        <v>0</v>
      </c>
      <c r="G35" s="56">
        <f t="shared" si="8"/>
        <v>0</v>
      </c>
    </row>
    <row r="36" spans="2:9" x14ac:dyDescent="0.25">
      <c r="B36" s="98">
        <v>5103</v>
      </c>
      <c r="C36" s="98" t="s">
        <v>97</v>
      </c>
      <c r="D36" s="40">
        <f>SUMIF('cth sp'!$B$9:$B$107,B36,'cth sp'!$F$9:$F$107)</f>
        <v>0</v>
      </c>
      <c r="E36" s="40">
        <f>SUMIF('cth sp'!$B$114:$B$158,B36,'cth sp'!$F$114:$F$158)</f>
        <v>0</v>
      </c>
      <c r="F36" s="40">
        <f>SUMIF('cth sp'!$B$165:$B$389,B36,'cth sp'!$F$165:$F$389)</f>
        <v>0</v>
      </c>
      <c r="G36" s="56">
        <f t="shared" si="8"/>
        <v>0</v>
      </c>
    </row>
    <row r="37" spans="2:9" x14ac:dyDescent="0.25">
      <c r="B37" s="98">
        <v>5104</v>
      </c>
      <c r="C37" s="98" t="s">
        <v>98</v>
      </c>
      <c r="D37" s="40">
        <f>SUMIF('cth sp'!$B$9:$B$107,B37,'cth sp'!$F$9:$F$107)</f>
        <v>0</v>
      </c>
      <c r="E37" s="40">
        <f>SUMIF('cth sp'!$B$114:$B$158,B37,'cth sp'!$F$114:$F$158)</f>
        <v>0</v>
      </c>
      <c r="F37" s="40">
        <f>SUMIF('cth sp'!$B$165:$B$389,B37,'cth sp'!$F$165:$F$389)</f>
        <v>0</v>
      </c>
      <c r="G37" s="56">
        <f t="shared" si="8"/>
        <v>0</v>
      </c>
    </row>
    <row r="38" spans="2:9" x14ac:dyDescent="0.25">
      <c r="B38" s="98">
        <v>5105</v>
      </c>
      <c r="C38" s="98" t="s">
        <v>99</v>
      </c>
      <c r="D38" s="40">
        <f>SUMIF('cth sp'!$B$9:$B$107,B38,'cth sp'!$F$9:$F$107)</f>
        <v>0</v>
      </c>
      <c r="E38" s="40">
        <f>SUMIF('cth sp'!$B$114:$B$158,B38,'cth sp'!$F$114:$F$158)</f>
        <v>0</v>
      </c>
      <c r="F38" s="40">
        <f>SUMIF('cth sp'!$B$165:$B$389,B38,'cth sp'!$F$165:$F$389)</f>
        <v>0</v>
      </c>
      <c r="G38" s="56">
        <f t="shared" si="8"/>
        <v>0</v>
      </c>
    </row>
    <row r="39" spans="2:9" x14ac:dyDescent="0.25">
      <c r="B39" s="98">
        <v>5109</v>
      </c>
      <c r="C39" s="98" t="s">
        <v>83</v>
      </c>
      <c r="D39" s="40">
        <f>SUMIF('cth sp'!$B$9:$B$107,B39,'cth sp'!$F$9:$F$107)</f>
        <v>0</v>
      </c>
      <c r="E39" s="40">
        <f>SUMIF('cth sp'!$B$114:$B$158,B39,'cth sp'!$F$114:$F$158)</f>
        <v>0</v>
      </c>
      <c r="F39" s="40">
        <f>SUMIF('cth sp'!$B$165:$B$389,B39,'cth sp'!$F$165:$F$389)</f>
        <v>0</v>
      </c>
      <c r="G39" s="56">
        <f t="shared" si="8"/>
        <v>0</v>
      </c>
    </row>
    <row r="40" spans="2:9" x14ac:dyDescent="0.25">
      <c r="B40" s="98"/>
      <c r="C40" s="278"/>
      <c r="D40" s="40"/>
      <c r="E40" s="98"/>
      <c r="F40" s="98"/>
      <c r="G40" s="56"/>
    </row>
    <row r="41" spans="2:9" s="30" customFormat="1" x14ac:dyDescent="0.25">
      <c r="B41" s="34"/>
      <c r="C41" s="253" t="s">
        <v>408</v>
      </c>
      <c r="D41" s="63">
        <f>SUM(D42:D43)</f>
        <v>20000000</v>
      </c>
      <c r="E41" s="63">
        <f t="shared" ref="E41:G41" si="9">SUM(E42:E43)</f>
        <v>8000000</v>
      </c>
      <c r="F41" s="63">
        <f t="shared" si="9"/>
        <v>0</v>
      </c>
      <c r="G41" s="63">
        <f t="shared" si="9"/>
        <v>28000000</v>
      </c>
      <c r="H41" s="64"/>
    </row>
    <row r="42" spans="2:9" x14ac:dyDescent="0.25">
      <c r="B42" s="98">
        <v>2001</v>
      </c>
      <c r="C42" s="42" t="s">
        <v>84</v>
      </c>
      <c r="D42" s="40">
        <f>SUMIF('cth sp'!$B$9:$B$107,B42,'cth sp'!$F$9:$F$107)</f>
        <v>20000000</v>
      </c>
      <c r="E42" s="40">
        <f>SUMIF('cth sp'!$B$114:$B$158,B42,'cth sp'!$F$114:$F$158)</f>
        <v>8000000</v>
      </c>
      <c r="F42" s="40">
        <f>SUMIF('cth sp'!$B$165:$B$389,B42,'cth sp'!$F$165:$F$389)</f>
        <v>0</v>
      </c>
      <c r="G42" s="36">
        <f>SUM(D42:F42)</f>
        <v>28000000</v>
      </c>
      <c r="H42" s="43">
        <f>D42</f>
        <v>20000000</v>
      </c>
      <c r="I42" s="43"/>
    </row>
    <row r="43" spans="2:9" x14ac:dyDescent="0.25">
      <c r="B43" s="98">
        <v>2002</v>
      </c>
      <c r="C43" s="42" t="s">
        <v>86</v>
      </c>
      <c r="D43" s="40">
        <f>SUMIF('cth sp'!$B$9:$B$107,B43,'cth sp'!$F$9:$F$107)</f>
        <v>0</v>
      </c>
      <c r="E43" s="40">
        <f>SUMIF('cth sp'!$B$114:$B$158,B43,'cth sp'!$F$114:$F$158)</f>
        <v>0</v>
      </c>
      <c r="F43" s="40">
        <f>SUMIF('cth sp'!$B$165:$B$389,B43,'cth sp'!$F$165:$F$389)</f>
        <v>0</v>
      </c>
      <c r="G43" s="36">
        <f>SUM(D43:F43)</f>
        <v>0</v>
      </c>
      <c r="H43" s="43">
        <f>(50000000-G43)+G14</f>
        <v>55000000</v>
      </c>
    </row>
    <row r="44" spans="2:9" x14ac:dyDescent="0.25">
      <c r="B44" s="98"/>
      <c r="C44" s="42"/>
      <c r="D44" s="40"/>
      <c r="E44" s="40"/>
      <c r="F44" s="40"/>
      <c r="G44" s="36"/>
      <c r="H44" s="43"/>
    </row>
    <row r="45" spans="2:9" s="367" customFormat="1" x14ac:dyDescent="0.25">
      <c r="B45" s="34">
        <v>3001</v>
      </c>
      <c r="C45" s="405" t="s">
        <v>488</v>
      </c>
      <c r="D45" s="368">
        <f>SUM(D46:D47)</f>
        <v>0</v>
      </c>
      <c r="E45" s="368">
        <f>SUM(E46:E47)</f>
        <v>380000</v>
      </c>
      <c r="F45" s="368">
        <f t="shared" ref="F45" si="10">SUM(F46:F47)</f>
        <v>0</v>
      </c>
      <c r="G45" s="368">
        <f>SUM(G46:G47)</f>
        <v>380000</v>
      </c>
      <c r="H45" s="64"/>
    </row>
    <row r="46" spans="2:9" x14ac:dyDescent="0.25">
      <c r="B46" s="46" t="s">
        <v>202</v>
      </c>
      <c r="C46" s="294" t="s">
        <v>200</v>
      </c>
      <c r="D46" s="40">
        <f>SUMIF('cth sp'!$B$9:$B$107,B46,'cth sp'!$F$9:$F$107)</f>
        <v>0</v>
      </c>
      <c r="E46" s="40">
        <f>SUMIF('cth sp'!$B$114:$B$158,B46,'cth sp'!$F$114:$F$158)</f>
        <v>50000</v>
      </c>
      <c r="F46" s="295"/>
      <c r="G46" s="36">
        <f>SUM(D46:F46)</f>
        <v>50000</v>
      </c>
      <c r="H46" s="43"/>
    </row>
    <row r="47" spans="2:9" x14ac:dyDescent="0.25">
      <c r="B47" s="46" t="s">
        <v>203</v>
      </c>
      <c r="C47" s="42" t="s">
        <v>201</v>
      </c>
      <c r="D47" s="40">
        <f>SUMIF('cth sp'!$B$9:$B$107,B47,'cth sp'!$F$9:$F$107)</f>
        <v>0</v>
      </c>
      <c r="E47" s="40">
        <f>SUMIF('cth sp'!$B$114:$B$158,B47,'cth sp'!$F$114:$F$158)</f>
        <v>330000</v>
      </c>
      <c r="F47" s="40"/>
      <c r="G47" s="36">
        <f>SUM(D47:F47)</f>
        <v>330000</v>
      </c>
      <c r="H47" s="43"/>
    </row>
    <row r="48" spans="2:9" x14ac:dyDescent="0.25">
      <c r="B48" s="46"/>
      <c r="C48" s="42"/>
      <c r="D48" s="40"/>
      <c r="E48" s="40"/>
      <c r="F48" s="40"/>
      <c r="G48" s="36"/>
      <c r="H48" s="43"/>
    </row>
    <row r="49" spans="2:8" x14ac:dyDescent="0.25">
      <c r="B49" s="46">
        <v>6000</v>
      </c>
      <c r="C49" s="42" t="s">
        <v>536</v>
      </c>
      <c r="D49" s="40">
        <f>SUMIF('cth sp'!$B$9:$B$107,B49,'cth sp'!$F$9:$F$107)</f>
        <v>0</v>
      </c>
      <c r="E49" s="40">
        <f>SUMIF('cth sp'!$B$114:$B$158,B49,'cth sp'!$F$114:$F$158)</f>
        <v>10880000</v>
      </c>
      <c r="F49" s="40"/>
      <c r="G49" s="36">
        <f t="shared" ref="G49" si="11">SUM(D49:F49)</f>
        <v>10880000</v>
      </c>
      <c r="H49" s="43"/>
    </row>
    <row r="50" spans="2:8" ht="15.75" thickBot="1" x14ac:dyDescent="0.3">
      <c r="B50" s="419"/>
      <c r="C50" s="420"/>
      <c r="D50" s="421"/>
      <c r="E50" s="421"/>
      <c r="F50" s="421"/>
      <c r="G50" s="422"/>
      <c r="H50" s="43"/>
    </row>
    <row r="51" spans="2:8" s="65" customFormat="1" ht="19.5" customHeight="1" x14ac:dyDescent="0.25">
      <c r="B51" s="296"/>
      <c r="C51" s="296" t="s">
        <v>5</v>
      </c>
      <c r="D51" s="297">
        <f>D41+D32+D45+D49</f>
        <v>20000000</v>
      </c>
      <c r="E51" s="297">
        <f>E41+E32+E45+E49</f>
        <v>19260000</v>
      </c>
      <c r="F51" s="297">
        <f>F41+F32+F45+F49</f>
        <v>0</v>
      </c>
      <c r="G51" s="297">
        <f>G41+G32+G45+G49</f>
        <v>39260000</v>
      </c>
      <c r="H51" s="66"/>
    </row>
    <row r="52" spans="2:8" s="65" customFormat="1" ht="19.5" customHeight="1" thickBot="1" x14ac:dyDescent="0.3">
      <c r="B52" s="298"/>
      <c r="C52" s="298" t="s">
        <v>100</v>
      </c>
      <c r="D52" s="299">
        <f>D30-D51</f>
        <v>8400000</v>
      </c>
      <c r="E52" s="299">
        <f>E30-E51</f>
        <v>-8400000</v>
      </c>
      <c r="F52" s="299">
        <f>F30-F51</f>
        <v>0</v>
      </c>
      <c r="G52" s="300">
        <f>G30-G51</f>
        <v>0</v>
      </c>
    </row>
    <row r="53" spans="2:8" s="251" customFormat="1" x14ac:dyDescent="0.25"/>
    <row r="54" spans="2:8" x14ac:dyDescent="0.25">
      <c r="B54" s="280"/>
      <c r="C54" s="281" t="s">
        <v>352</v>
      </c>
      <c r="D54" s="282">
        <f>G10</f>
        <v>0</v>
      </c>
      <c r="E54" s="625"/>
      <c r="F54" s="283"/>
      <c r="G54" s="284"/>
    </row>
    <row r="55" spans="2:8" x14ac:dyDescent="0.25">
      <c r="B55" s="285"/>
      <c r="C55" s="286"/>
      <c r="D55" s="286"/>
      <c r="E55" s="286"/>
      <c r="F55" s="286"/>
      <c r="G55" s="287"/>
    </row>
    <row r="56" spans="2:8" x14ac:dyDescent="0.25">
      <c r="B56" s="285"/>
      <c r="C56" s="286" t="s">
        <v>353</v>
      </c>
      <c r="D56" s="288">
        <f>G30</f>
        <v>39260000</v>
      </c>
      <c r="E56" s="286"/>
      <c r="F56" s="286"/>
      <c r="G56" s="287"/>
    </row>
    <row r="57" spans="2:8" ht="15.75" thickBot="1" x14ac:dyDescent="0.3">
      <c r="B57" s="285"/>
      <c r="C57" s="286" t="s">
        <v>354</v>
      </c>
      <c r="D57" s="67">
        <f>G51</f>
        <v>39260000</v>
      </c>
      <c r="E57" s="286"/>
      <c r="F57" s="286"/>
      <c r="G57" s="287"/>
    </row>
    <row r="58" spans="2:8" ht="15.75" thickTop="1" x14ac:dyDescent="0.25">
      <c r="B58" s="285"/>
      <c r="C58" s="286"/>
      <c r="D58" s="289">
        <f>D54+D56-D57</f>
        <v>0</v>
      </c>
      <c r="E58" s="286"/>
      <c r="F58" s="286"/>
      <c r="G58" s="287"/>
    </row>
    <row r="59" spans="2:8" x14ac:dyDescent="0.25">
      <c r="B59" s="285"/>
      <c r="C59" s="286"/>
      <c r="D59" s="289"/>
      <c r="E59" s="286"/>
      <c r="F59" s="286"/>
      <c r="G59" s="287"/>
    </row>
    <row r="60" spans="2:8" x14ac:dyDescent="0.25">
      <c r="B60" s="285"/>
      <c r="C60" s="380" t="s">
        <v>533</v>
      </c>
      <c r="D60" s="289"/>
      <c r="E60" s="286"/>
      <c r="F60" s="286"/>
      <c r="G60" s="287"/>
    </row>
    <row r="61" spans="2:8" x14ac:dyDescent="0.25">
      <c r="B61" s="285"/>
      <c r="C61" s="376" t="s">
        <v>0</v>
      </c>
      <c r="D61" s="288">
        <f>'cth sp'!G161</f>
        <v>0</v>
      </c>
      <c r="E61" s="286"/>
      <c r="F61" s="286"/>
      <c r="G61" s="287"/>
    </row>
    <row r="62" spans="2:8" ht="15.75" thickBot="1" x14ac:dyDescent="0.3">
      <c r="B62" s="285"/>
      <c r="C62" s="376" t="s">
        <v>1</v>
      </c>
      <c r="D62" s="67">
        <f>'cth sp'!J161</f>
        <v>0</v>
      </c>
      <c r="E62" s="286"/>
      <c r="F62" s="286"/>
      <c r="G62" s="287"/>
    </row>
    <row r="63" spans="2:8" ht="15.75" thickTop="1" x14ac:dyDescent="0.25">
      <c r="B63" s="285"/>
      <c r="C63" s="286"/>
      <c r="D63" s="430">
        <f>SUM(D61:D62)</f>
        <v>0</v>
      </c>
      <c r="E63" s="345"/>
      <c r="F63" s="286"/>
      <c r="G63" s="287"/>
    </row>
    <row r="64" spans="2:8" x14ac:dyDescent="0.25">
      <c r="B64" s="285"/>
      <c r="C64" s="286"/>
      <c r="D64" s="286"/>
      <c r="E64" s="286"/>
      <c r="F64" s="286"/>
      <c r="G64" s="287"/>
    </row>
    <row r="65" spans="2:7" x14ac:dyDescent="0.25">
      <c r="B65" s="285"/>
      <c r="C65" s="286"/>
      <c r="D65" s="286"/>
      <c r="E65" s="286" t="str">
        <f>'PERUBAHAN MODAL'!D24</f>
        <v>Balongbesuk, 15 Januari 2025</v>
      </c>
      <c r="F65" s="286"/>
      <c r="G65" s="287"/>
    </row>
    <row r="66" spans="2:7" x14ac:dyDescent="0.25">
      <c r="B66" s="285"/>
      <c r="C66" s="286" t="str">
        <f>'PERUBAHAN MODAL'!B25</f>
        <v>Dilaporkan Oleh;</v>
      </c>
      <c r="D66" s="286"/>
      <c r="E66" s="286" t="str">
        <f>'PERUBAHAN MODAL'!D25</f>
        <v>Dibuat Oleh;</v>
      </c>
      <c r="F66" s="286"/>
      <c r="G66" s="287"/>
    </row>
    <row r="67" spans="2:7" x14ac:dyDescent="0.25">
      <c r="B67" s="285"/>
      <c r="C67" s="286"/>
      <c r="D67" s="286"/>
      <c r="E67" s="286"/>
      <c r="F67" s="286"/>
      <c r="G67" s="287"/>
    </row>
    <row r="68" spans="2:7" x14ac:dyDescent="0.25">
      <c r="B68" s="285"/>
      <c r="C68" s="286"/>
      <c r="D68" s="286"/>
      <c r="E68" s="286"/>
      <c r="F68" s="286"/>
      <c r="G68" s="287"/>
    </row>
    <row r="69" spans="2:7" x14ac:dyDescent="0.25">
      <c r="B69" s="285"/>
      <c r="C69" s="286"/>
      <c r="D69" s="286"/>
      <c r="E69" s="286"/>
      <c r="F69" s="286"/>
      <c r="G69" s="287"/>
    </row>
    <row r="70" spans="2:7" x14ac:dyDescent="0.25">
      <c r="B70" s="285"/>
      <c r="C70" s="290" t="str">
        <f>'PERUBAHAN MODAL'!B29</f>
        <v>DODIK SUSANTO, S.Fil.I</v>
      </c>
      <c r="D70" s="286"/>
      <c r="E70" s="290" t="str">
        <f>'PERUBAHAN MODAL'!D29</f>
        <v>MAMIK KURNIAWATI</v>
      </c>
      <c r="F70" s="286"/>
      <c r="G70" s="287"/>
    </row>
    <row r="71" spans="2:7" x14ac:dyDescent="0.25">
      <c r="B71" s="285"/>
      <c r="C71" s="286" t="str">
        <f>'PERUBAHAN MODAL'!B30</f>
        <v>Direktur BUMDesa "BAROKAH"</v>
      </c>
      <c r="D71" s="286"/>
      <c r="E71" s="286" t="str">
        <f>'PERUBAHAN MODAL'!D30</f>
        <v>Bendahara BUMDesa "BAROKAH"</v>
      </c>
      <c r="F71" s="286"/>
      <c r="G71" s="287"/>
    </row>
    <row r="72" spans="2:7" x14ac:dyDescent="0.25">
      <c r="B72" s="285"/>
      <c r="C72" s="286"/>
      <c r="D72" s="286"/>
      <c r="E72" s="286"/>
      <c r="F72" s="286"/>
      <c r="G72" s="287"/>
    </row>
    <row r="73" spans="2:7" x14ac:dyDescent="0.25">
      <c r="B73" s="285"/>
      <c r="C73" s="286" t="str">
        <f>'PERUBAHAN MODAL'!A32</f>
        <v>Mengetahui;</v>
      </c>
      <c r="D73" s="286" t="str">
        <f>'PERUBAHAN MODAL'!C32</f>
        <v>Disetujui Oleh</v>
      </c>
      <c r="E73" s="286"/>
      <c r="F73" s="286"/>
      <c r="G73" s="287"/>
    </row>
    <row r="74" spans="2:7" x14ac:dyDescent="0.25">
      <c r="B74" s="285"/>
      <c r="C74" s="286" t="str">
        <f>'PERUBAHAN MODAL'!A33</f>
        <v>Badan Pengawas</v>
      </c>
      <c r="D74" s="286" t="str">
        <f>'PERUBAHAN MODAL'!C33</f>
        <v>Kepala Desa Balongbesuk</v>
      </c>
      <c r="E74" s="286"/>
      <c r="F74" s="286"/>
      <c r="G74" s="287"/>
    </row>
    <row r="75" spans="2:7" x14ac:dyDescent="0.25">
      <c r="B75" s="285"/>
      <c r="C75" s="286"/>
      <c r="D75" s="286"/>
      <c r="E75" s="286"/>
      <c r="F75" s="286"/>
      <c r="G75" s="287"/>
    </row>
    <row r="76" spans="2:7" x14ac:dyDescent="0.25">
      <c r="B76" s="285"/>
      <c r="C76" s="286"/>
      <c r="D76" s="286"/>
      <c r="E76" s="286"/>
      <c r="F76" s="286"/>
      <c r="G76" s="287"/>
    </row>
    <row r="77" spans="2:7" x14ac:dyDescent="0.25">
      <c r="B77" s="285"/>
      <c r="C77" s="286"/>
      <c r="D77" s="286"/>
      <c r="E77" s="286"/>
      <c r="F77" s="286"/>
      <c r="G77" s="287"/>
    </row>
    <row r="78" spans="2:7" x14ac:dyDescent="0.25">
      <c r="B78" s="285"/>
      <c r="C78" s="286"/>
      <c r="D78" s="286"/>
      <c r="E78" s="286"/>
      <c r="F78" s="286"/>
      <c r="G78" s="287"/>
    </row>
    <row r="79" spans="2:7" x14ac:dyDescent="0.25">
      <c r="B79" s="285"/>
      <c r="C79" s="290" t="str">
        <f>'PERUBAHAN MODAL'!A37</f>
        <v>SADJI ABDULLAH</v>
      </c>
      <c r="D79" s="290" t="str">
        <f>'PERUBAHAN MODAL'!C37</f>
        <v>MOCHAMAD SAIFUR</v>
      </c>
      <c r="E79" s="286"/>
      <c r="F79" s="286"/>
      <c r="G79" s="287"/>
    </row>
    <row r="80" spans="2:7" x14ac:dyDescent="0.25">
      <c r="B80" s="291"/>
      <c r="C80" s="292"/>
      <c r="D80" s="292"/>
      <c r="E80" s="292"/>
      <c r="F80" s="292"/>
      <c r="G80" s="293"/>
    </row>
  </sheetData>
  <mergeCells count="4">
    <mergeCell ref="D7:F7"/>
    <mergeCell ref="G7:G8"/>
    <mergeCell ref="B7:B8"/>
    <mergeCell ref="C7:C8"/>
  </mergeCells>
  <pageMargins left="0.70866141732283505" right="0.70866141732283505" top="0.6" bottom="0.4" header="0.31496062992126" footer="0.31496062992126"/>
  <pageSetup paperSize="9" fitToWidth="0" fitToHeight="0" orientation="landscape" r:id="rId1"/>
  <rowBreaks count="2" manualBreakCount="2">
    <brk id="31" max="6" man="1"/>
    <brk id="53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0"/>
  <sheetViews>
    <sheetView view="pageBreakPreview" topLeftCell="A97" zoomScale="106" zoomScaleNormal="77" zoomScaleSheetLayoutView="106" workbookViewId="0">
      <selection activeCell="A21" sqref="A21:XFD21"/>
    </sheetView>
  </sheetViews>
  <sheetFormatPr defaultColWidth="9" defaultRowHeight="15" x14ac:dyDescent="0.25"/>
  <cols>
    <col min="2" max="2" width="47.28515625" customWidth="1"/>
    <col min="3" max="8" width="15.5703125" customWidth="1"/>
    <col min="9" max="9" width="17.28515625" bestFit="1" customWidth="1"/>
    <col min="10" max="10" width="20.140625" style="28" customWidth="1"/>
    <col min="11" max="11" width="15.28515625" customWidth="1"/>
    <col min="12" max="12" width="20" customWidth="1"/>
    <col min="13" max="259" width="10" customWidth="1"/>
    <col min="260" max="260" width="9" customWidth="1"/>
  </cols>
  <sheetData>
    <row r="1" spans="1:11" ht="19.5" x14ac:dyDescent="0.3">
      <c r="A1" s="29" t="s">
        <v>355</v>
      </c>
    </row>
    <row r="2" spans="1:11" ht="18.75" x14ac:dyDescent="0.3">
      <c r="A2" s="26" t="s">
        <v>356</v>
      </c>
    </row>
    <row r="3" spans="1:11" x14ac:dyDescent="0.25">
      <c r="A3" s="30" t="s">
        <v>748</v>
      </c>
    </row>
    <row r="4" spans="1:11" x14ac:dyDescent="0.25">
      <c r="A4" s="267" t="s">
        <v>430</v>
      </c>
    </row>
    <row r="5" spans="1:11" x14ac:dyDescent="0.25">
      <c r="A5" s="267"/>
    </row>
    <row r="6" spans="1:11" x14ac:dyDescent="0.25">
      <c r="A6" s="267"/>
    </row>
    <row r="7" spans="1:11" s="31" customFormat="1" x14ac:dyDescent="0.25">
      <c r="A7" s="856" t="s">
        <v>9</v>
      </c>
      <c r="B7" s="856" t="s">
        <v>20</v>
      </c>
      <c r="C7" s="339"/>
      <c r="D7" s="857">
        <v>2024</v>
      </c>
      <c r="E7" s="858"/>
      <c r="F7" s="858"/>
      <c r="G7" s="858"/>
      <c r="H7" s="858"/>
      <c r="I7" s="859"/>
      <c r="J7" s="860" t="s">
        <v>93</v>
      </c>
    </row>
    <row r="8" spans="1:11" s="31" customFormat="1" x14ac:dyDescent="0.25">
      <c r="A8" s="856"/>
      <c r="B8" s="856"/>
      <c r="C8" s="329"/>
      <c r="D8" s="32" t="s">
        <v>424</v>
      </c>
      <c r="E8" s="343" t="s">
        <v>425</v>
      </c>
      <c r="F8" s="32" t="s">
        <v>426</v>
      </c>
      <c r="G8" s="343" t="s">
        <v>429</v>
      </c>
      <c r="H8" s="32" t="s">
        <v>16</v>
      </c>
      <c r="I8" s="32" t="s">
        <v>17</v>
      </c>
      <c r="J8" s="860"/>
    </row>
    <row r="9" spans="1:11" x14ac:dyDescent="0.25">
      <c r="A9" s="304"/>
      <c r="B9" s="304"/>
      <c r="C9" s="325"/>
      <c r="D9" s="3"/>
      <c r="E9" s="3"/>
      <c r="F9" s="3"/>
      <c r="G9" s="3"/>
      <c r="H9" s="3"/>
      <c r="I9" s="3"/>
      <c r="J9" s="33"/>
    </row>
    <row r="10" spans="1:11" s="30" customFormat="1" x14ac:dyDescent="0.25">
      <c r="A10" s="34">
        <v>1000</v>
      </c>
      <c r="B10" s="34" t="s">
        <v>82</v>
      </c>
      <c r="C10" s="34"/>
      <c r="D10" s="11"/>
      <c r="E10" s="11">
        <f t="shared" ref="E10:I10" si="0">E11-E12</f>
        <v>0</v>
      </c>
      <c r="F10" s="11">
        <f t="shared" si="0"/>
        <v>0</v>
      </c>
      <c r="G10" s="11">
        <f t="shared" si="0"/>
        <v>0</v>
      </c>
      <c r="H10" s="11">
        <f t="shared" si="0"/>
        <v>0</v>
      </c>
      <c r="I10" s="11">
        <f t="shared" si="0"/>
        <v>0</v>
      </c>
      <c r="J10" s="41">
        <f>SUM(C10:I10)</f>
        <v>0</v>
      </c>
    </row>
    <row r="11" spans="1:11" s="30" customFormat="1" x14ac:dyDescent="0.25">
      <c r="A11" s="34"/>
      <c r="B11" s="34"/>
      <c r="C11" s="34"/>
      <c r="D11" s="35">
        <f>'cth gEDUNG'!G27</f>
        <v>2240000</v>
      </c>
      <c r="E11" s="35">
        <f>'cth gEDUNG'!E50</f>
        <v>3260000</v>
      </c>
      <c r="F11" s="35">
        <f>'cth gEDUNG'!E68</f>
        <v>2010000</v>
      </c>
      <c r="G11" s="35">
        <f>'cth gEDUNG'!E89</f>
        <v>1400000</v>
      </c>
      <c r="H11" s="35">
        <f>'cth gEDUNG'!E111</f>
        <v>1890000</v>
      </c>
      <c r="I11" s="35">
        <f>'cth gEDUNG'!E136</f>
        <v>3740000</v>
      </c>
      <c r="J11" s="36"/>
    </row>
    <row r="12" spans="1:11" s="30" customFormat="1" x14ac:dyDescent="0.25">
      <c r="A12" s="34">
        <v>2000</v>
      </c>
      <c r="B12" s="34" t="s">
        <v>90</v>
      </c>
      <c r="C12" s="35">
        <f>SUM(C13:C15)</f>
        <v>0</v>
      </c>
      <c r="D12" s="35">
        <f>SUM(D13:D16)</f>
        <v>2240000</v>
      </c>
      <c r="E12" s="35">
        <f t="shared" ref="E12:I12" si="1">SUM(E13:E16)</f>
        <v>3260000</v>
      </c>
      <c r="F12" s="35">
        <f t="shared" si="1"/>
        <v>2010000</v>
      </c>
      <c r="G12" s="35">
        <f t="shared" si="1"/>
        <v>1400000</v>
      </c>
      <c r="H12" s="35">
        <f t="shared" si="1"/>
        <v>1890000</v>
      </c>
      <c r="I12" s="35">
        <f t="shared" si="1"/>
        <v>3740000</v>
      </c>
      <c r="J12" s="35">
        <f>SUM(J13:J16)</f>
        <v>14540000</v>
      </c>
    </row>
    <row r="13" spans="1:11" s="37" customFormat="1" x14ac:dyDescent="0.25">
      <c r="A13" s="38">
        <v>2001</v>
      </c>
      <c r="B13" s="39" t="s">
        <v>422</v>
      </c>
      <c r="C13" s="39"/>
      <c r="D13" s="40">
        <f>SUMIF('cth gEDUNG'!$B$8:$B$26,A13,'cth gEDUNG'!$E$8:$E$26)</f>
        <v>1890000</v>
      </c>
      <c r="E13" s="40">
        <f>SUMIF('cth gEDUNG'!$B$33:$B$49,A13,'cth gEDUNG'!$E$33:$E$49)</f>
        <v>1360000</v>
      </c>
      <c r="F13" s="40">
        <f>SUMIF('cth gEDUNG'!$B$57:$B$67,A13,'cth gEDUNG'!$E$57:$E$67)</f>
        <v>1090000</v>
      </c>
      <c r="G13" s="40">
        <f>SUMIF('cth gEDUNG'!$B$75:$B$88,A13,'cth gEDUNG'!$E$75:$E$88)</f>
        <v>1200000</v>
      </c>
      <c r="H13" s="40">
        <f>SUMIF('cth gEDUNG'!$B$96:$B$110,A13,'cth gEDUNG'!$E$96:$E$110)</f>
        <v>1270000</v>
      </c>
      <c r="I13" s="40">
        <f>SUMIF('cth gEDUNG'!$B$118:$B$135,A13,'cth gEDUNG'!$E$118:$E$135)</f>
        <v>1390000</v>
      </c>
      <c r="J13" s="41">
        <f>SUM(C13:I13)</f>
        <v>8200000</v>
      </c>
    </row>
    <row r="14" spans="1:11" x14ac:dyDescent="0.25">
      <c r="A14" s="98">
        <v>2002</v>
      </c>
      <c r="B14" s="42" t="s">
        <v>423</v>
      </c>
      <c r="C14" s="42"/>
      <c r="D14" s="40">
        <f>SUMIF('cth gEDUNG'!$B$8:$B$26,A14,'cth gEDUNG'!$E$8:$E$26)</f>
        <v>350000</v>
      </c>
      <c r="E14" s="40">
        <f>SUMIF('cth gEDUNG'!$B$33:$B$49,A14,'cth gEDUNG'!$E$33:$E$49)</f>
        <v>1900000</v>
      </c>
      <c r="F14" s="40">
        <f>SUMIF('cth gEDUNG'!$B$57:$B$67,A14,'cth gEDUNG'!$E$57:$E$67)</f>
        <v>920000</v>
      </c>
      <c r="G14" s="40">
        <f>SUMIF('cth gEDUNG'!$B$75:$B$88,A14,'cth gEDUNG'!$E$75:$E$88)</f>
        <v>200000</v>
      </c>
      <c r="H14" s="40">
        <f>SUMIF('cth gEDUNG'!$B$96:$B$110,A14,'cth gEDUNG'!$E$96:$E$110)</f>
        <v>620000</v>
      </c>
      <c r="I14" s="40">
        <f>SUMIF('cth gEDUNG'!$B$118:$B$135,A14,'cth gEDUNG'!$E$118:$E$135)</f>
        <v>2350000</v>
      </c>
      <c r="J14" s="41">
        <f t="shared" ref="J14:J16" si="2">SUM(C14:I14)</f>
        <v>6340000</v>
      </c>
      <c r="K14" s="43"/>
    </row>
    <row r="15" spans="1:11" x14ac:dyDescent="0.25">
      <c r="A15" s="98">
        <v>2003</v>
      </c>
      <c r="B15" s="279" t="s">
        <v>436</v>
      </c>
      <c r="C15" s="279"/>
      <c r="D15" s="40">
        <f>SUMIF('cth gEDUNG'!$B$8:$B$26,A15,'cth gEDUNG'!$E$8:$E$26)</f>
        <v>0</v>
      </c>
      <c r="E15" s="40">
        <f>SUMIF('cth gEDUNG'!$B$33:$B$49,A15,'cth gEDUNG'!$E$33:$E$49)</f>
        <v>0</v>
      </c>
      <c r="F15" s="40">
        <f>SUMIF('cth gEDUNG'!$B$57:$B$67,A15,'cth gEDUNG'!$E$57:$E$67)</f>
        <v>0</v>
      </c>
      <c r="G15" s="40">
        <f>SUMIF('cth gEDUNG'!$B$75:$B$88,A15,'cth gEDUNG'!$E$75:$E$88)</f>
        <v>0</v>
      </c>
      <c r="H15" s="40">
        <f>SUMIF('cth gEDUNG'!$B$96:$B$110,A15,'cth gEDUNG'!$E$96:$E$110)</f>
        <v>0</v>
      </c>
      <c r="I15" s="40">
        <f>SUMIF('cth gEDUNG'!$B$118:$B$135,A15,'cth gEDUNG'!$E$118:$E$135)</f>
        <v>0</v>
      </c>
      <c r="J15" s="41">
        <f t="shared" si="2"/>
        <v>0</v>
      </c>
    </row>
    <row r="16" spans="1:11" x14ac:dyDescent="0.25">
      <c r="A16" s="98">
        <v>2099</v>
      </c>
      <c r="B16" s="42" t="s">
        <v>92</v>
      </c>
      <c r="C16" s="279"/>
      <c r="D16" s="40">
        <f>SUMIF('cth gEDUNG'!$B$8:$B$26,A16,'cth gEDUNG'!$E$8:$E$26)</f>
        <v>0</v>
      </c>
      <c r="E16" s="40">
        <f>SUMIF('cth gEDUNG'!$B$33:$B$49,A16,'cth gEDUNG'!$E$33:$E$49)</f>
        <v>0</v>
      </c>
      <c r="F16" s="40">
        <f>SUMIF('cth gEDUNG'!$B$57:$B$67,A16,'cth gEDUNG'!$E$57:$E$67)</f>
        <v>0</v>
      </c>
      <c r="G16" s="40">
        <f>SUMIF('cth gEDUNG'!$B$75:$B$88,A16,'cth gEDUNG'!$E$75:$E$88)</f>
        <v>0</v>
      </c>
      <c r="H16" s="40">
        <f>SUMIF('cth gEDUNG'!$B$96:$B$110,A16,'cth gEDUNG'!$E$96:$E$110)</f>
        <v>0</v>
      </c>
      <c r="I16" s="40">
        <f>SUMIF('cth gEDUNG'!$B$118:$B$135,A16,'cth gEDUNG'!$E$118:$E$135)</f>
        <v>0</v>
      </c>
      <c r="J16" s="41">
        <f t="shared" si="2"/>
        <v>0</v>
      </c>
    </row>
    <row r="17" spans="1:11" s="30" customFormat="1" x14ac:dyDescent="0.25">
      <c r="A17" s="276">
        <v>3000</v>
      </c>
      <c r="B17" s="276" t="s">
        <v>427</v>
      </c>
      <c r="C17" s="277">
        <f t="shared" ref="C17:J17" si="3">SUM(C18:C18)</f>
        <v>0</v>
      </c>
      <c r="D17" s="277">
        <f>SUM(D18:D18)</f>
        <v>0</v>
      </c>
      <c r="E17" s="277">
        <f t="shared" si="3"/>
        <v>0</v>
      </c>
      <c r="F17" s="277">
        <f t="shared" si="3"/>
        <v>0</v>
      </c>
      <c r="G17" s="277">
        <f t="shared" si="3"/>
        <v>0</v>
      </c>
      <c r="H17" s="277">
        <f t="shared" si="3"/>
        <v>0</v>
      </c>
      <c r="I17" s="277">
        <f t="shared" si="3"/>
        <v>0</v>
      </c>
      <c r="J17" s="277">
        <f t="shared" si="3"/>
        <v>0</v>
      </c>
    </row>
    <row r="18" spans="1:11" x14ac:dyDescent="0.25">
      <c r="A18" s="98">
        <v>3001</v>
      </c>
      <c r="B18" s="42" t="s">
        <v>428</v>
      </c>
      <c r="C18" s="42"/>
      <c r="D18" s="40">
        <f>SUMIF('cth gEDUNG'!$B$8:$B$26,A18,'cth gEDUNG'!$E$8:$E$26)</f>
        <v>0</v>
      </c>
      <c r="E18" s="40">
        <f>SUMIF('cth gEDUNG'!$B$33:$B$49,A18,'cth gEDUNG'!$E$33:$E$49)</f>
        <v>0</v>
      </c>
      <c r="F18" s="40">
        <f>SUMIF('cth gEDUNG'!$B$57:$B$67,A18,'cth gEDUNG'!$E$57:$E$67)</f>
        <v>0</v>
      </c>
      <c r="G18" s="40">
        <f>SUMIF('cth gEDUNG'!$B$75:$B$88,A18,'cth gEDUNG'!$E$75:$E$88)</f>
        <v>0</v>
      </c>
      <c r="H18" s="40">
        <f>SUMIF('cth gEDUNG'!$B$96:$B$110,A18,'cth gEDUNG'!$E$96:$E$110)</f>
        <v>0</v>
      </c>
      <c r="I18" s="40">
        <f>SUMIF('cth gEDUNG'!$B$118:$B$135,A18,'cth gEDUNG'!$E$118:$E$135)</f>
        <v>0</v>
      </c>
      <c r="J18" s="41">
        <f t="shared" ref="J18" si="4">SUM(C18:I18)</f>
        <v>0</v>
      </c>
      <c r="K18" s="45"/>
    </row>
    <row r="19" spans="1:11" x14ac:dyDescent="0.25">
      <c r="A19" s="98"/>
      <c r="B19" s="57"/>
      <c r="C19" s="57"/>
      <c r="D19" s="44"/>
      <c r="E19" s="44"/>
      <c r="F19" s="44"/>
      <c r="G19" s="44"/>
      <c r="H19" s="44"/>
      <c r="I19" s="44"/>
      <c r="J19" s="36"/>
    </row>
    <row r="20" spans="1:11" s="30" customFormat="1" x14ac:dyDescent="0.25">
      <c r="A20" s="49"/>
      <c r="B20" s="58" t="s">
        <v>102</v>
      </c>
      <c r="C20" s="59">
        <f t="shared" ref="C20:J20" si="5">C10+C12+C17</f>
        <v>0</v>
      </c>
      <c r="D20" s="59">
        <f>D10+D12+D17</f>
        <v>2240000</v>
      </c>
      <c r="E20" s="59">
        <f t="shared" si="5"/>
        <v>3260000</v>
      </c>
      <c r="F20" s="59">
        <f t="shared" si="5"/>
        <v>2010000</v>
      </c>
      <c r="G20" s="59">
        <f t="shared" si="5"/>
        <v>1400000</v>
      </c>
      <c r="H20" s="59">
        <f t="shared" si="5"/>
        <v>1890000</v>
      </c>
      <c r="I20" s="59">
        <f t="shared" si="5"/>
        <v>3740000</v>
      </c>
      <c r="J20" s="59">
        <f t="shared" si="5"/>
        <v>14540000</v>
      </c>
    </row>
    <row r="21" spans="1:11" s="944" customFormat="1" x14ac:dyDescent="0.25">
      <c r="A21" s="941"/>
      <c r="B21" s="942"/>
      <c r="C21" s="943"/>
      <c r="D21" s="943"/>
      <c r="E21" s="943"/>
      <c r="F21" s="943"/>
      <c r="G21" s="943"/>
      <c r="H21" s="943"/>
      <c r="I21" s="943"/>
      <c r="J21" s="943"/>
    </row>
    <row r="22" spans="1:11" x14ac:dyDescent="0.25">
      <c r="A22" s="61">
        <v>5000</v>
      </c>
      <c r="B22" s="61" t="s">
        <v>85</v>
      </c>
      <c r="C22" s="61"/>
      <c r="D22" s="60">
        <f>D23</f>
        <v>872000</v>
      </c>
      <c r="E22" s="60">
        <f t="shared" ref="E22:I22" si="6">E23</f>
        <v>105000</v>
      </c>
      <c r="F22" s="60">
        <f t="shared" si="6"/>
        <v>30000</v>
      </c>
      <c r="G22" s="60">
        <f t="shared" si="6"/>
        <v>105000</v>
      </c>
      <c r="H22" s="60">
        <f t="shared" si="6"/>
        <v>205000</v>
      </c>
      <c r="I22" s="60">
        <f t="shared" si="6"/>
        <v>360000</v>
      </c>
      <c r="J22" s="60">
        <f>J23</f>
        <v>1677000</v>
      </c>
    </row>
    <row r="23" spans="1:11" x14ac:dyDescent="0.25">
      <c r="A23" s="98">
        <v>5100</v>
      </c>
      <c r="B23" s="34" t="s">
        <v>94</v>
      </c>
      <c r="C23" s="34"/>
      <c r="D23" s="62">
        <f>SUM(D24:D31)</f>
        <v>872000</v>
      </c>
      <c r="E23" s="62">
        <f t="shared" ref="E23:I23" si="7">SUM(E24:E31)</f>
        <v>105000</v>
      </c>
      <c r="F23" s="62">
        <f t="shared" si="7"/>
        <v>30000</v>
      </c>
      <c r="G23" s="62">
        <f t="shared" si="7"/>
        <v>105000</v>
      </c>
      <c r="H23" s="62">
        <f t="shared" si="7"/>
        <v>205000</v>
      </c>
      <c r="I23" s="62">
        <f t="shared" si="7"/>
        <v>360000</v>
      </c>
      <c r="J23" s="36">
        <f>SUM(J24:J31)</f>
        <v>1677000</v>
      </c>
    </row>
    <row r="24" spans="1:11" x14ac:dyDescent="0.25">
      <c r="A24" s="98">
        <v>5101</v>
      </c>
      <c r="B24" s="42" t="s">
        <v>95</v>
      </c>
      <c r="C24" s="42"/>
      <c r="D24" s="40">
        <f>SUMIF('cth gEDUNG'!$B$8:$B$26,A24,'cth gEDUNG'!$F$8:$F$26)</f>
        <v>0</v>
      </c>
      <c r="E24" s="40">
        <f>SUMIF('cth gEDUNG'!$B$33:$B$49,A24,'cth gEDUNG'!$F$33:$F$49)</f>
        <v>0</v>
      </c>
      <c r="F24" s="40">
        <f>SUMIF('cth gEDUNG'!$B$57:$B$67,A24,'cth gEDUNG'!$F$57:$F$67)</f>
        <v>0</v>
      </c>
      <c r="G24" s="40">
        <f>SUMIF('cth gEDUNG'!$B$75:$B$88,A24,'cth gEDUNG'!$F$75:$F$88)</f>
        <v>0</v>
      </c>
      <c r="H24" s="40">
        <f>SUMIF('cth gEDUNG'!$B$96:$B$110,A24,'cth gEDUNG'!$F$96:$F$110)</f>
        <v>0</v>
      </c>
      <c r="I24" s="40">
        <f>SUMIF('cth gEDUNG'!$B$118:$B$135,A24,'cth gEDUNG'!$F$118:$F$135)</f>
        <v>0</v>
      </c>
      <c r="J24" s="313">
        <f>SUM(D24:I24)</f>
        <v>0</v>
      </c>
    </row>
    <row r="25" spans="1:11" x14ac:dyDescent="0.25">
      <c r="A25" s="98">
        <v>5102</v>
      </c>
      <c r="B25" s="42" t="s">
        <v>96</v>
      </c>
      <c r="C25" s="42"/>
      <c r="D25" s="40">
        <f>SUMIF('cth gEDUNG'!$B$8:$B$26,A25,'cth gEDUNG'!$F$8:$F$26)</f>
        <v>0</v>
      </c>
      <c r="E25" s="40">
        <f>SUMIF('cth gEDUNG'!$B$33:$B$49,A25,'cth gEDUNG'!$F$33:$F$49)</f>
        <v>0</v>
      </c>
      <c r="F25" s="40">
        <f>SUMIF('cth gEDUNG'!$B$57:$B$67,A25,'cth gEDUNG'!$F$57:$F$67)</f>
        <v>0</v>
      </c>
      <c r="G25" s="40">
        <f>SUMIF('cth gEDUNG'!$B$75:$B$88,A25,'cth gEDUNG'!$F$75:$F$88)</f>
        <v>0</v>
      </c>
      <c r="H25" s="40">
        <f>SUMIF('cth gEDUNG'!$B$96:$B$110,A25,'cth gEDUNG'!$F$96:$F$110)</f>
        <v>0</v>
      </c>
      <c r="I25" s="40">
        <f>SUMIF('cth gEDUNG'!$B$118:$B$135,A25,'cth gEDUNG'!$F$118:$F$135)</f>
        <v>0</v>
      </c>
      <c r="J25" s="313">
        <f t="shared" ref="J25:J31" si="8">SUM(D25:I25)</f>
        <v>0</v>
      </c>
    </row>
    <row r="26" spans="1:11" x14ac:dyDescent="0.25">
      <c r="A26" s="98">
        <v>5103</v>
      </c>
      <c r="B26" s="279" t="s">
        <v>431</v>
      </c>
      <c r="C26" s="279"/>
      <c r="D26" s="40">
        <f>SUMIF('cth gEDUNG'!$B$8:$B$26,A26,'cth gEDUNG'!$F$8:$F$26)</f>
        <v>0</v>
      </c>
      <c r="E26" s="40">
        <f>SUMIF('cth gEDUNG'!$B$33:$B$49,A26,'cth gEDUNG'!$F$33:$F$49)</f>
        <v>0</v>
      </c>
      <c r="F26" s="40">
        <f>SUMIF('cth gEDUNG'!$B$57:$B$67,A26,'cth gEDUNG'!$F$57:$F$67)</f>
        <v>22000</v>
      </c>
      <c r="G26" s="40">
        <f>SUMIF('cth gEDUNG'!$B$75:$B$88,A26,'cth gEDUNG'!$F$75:$F$88)</f>
        <v>0</v>
      </c>
      <c r="H26" s="40">
        <f>SUMIF('cth gEDUNG'!$B$96:$B$110,A26,'cth gEDUNG'!$F$96:$F$110)</f>
        <v>0</v>
      </c>
      <c r="I26" s="40">
        <f>SUMIF('cth gEDUNG'!$B$118:$B$135,A26,'cth gEDUNG'!$F$118:$F$135)</f>
        <v>0</v>
      </c>
      <c r="J26" s="313">
        <f t="shared" si="8"/>
        <v>22000</v>
      </c>
    </row>
    <row r="27" spans="1:11" x14ac:dyDescent="0.25">
      <c r="A27" s="98">
        <v>5104</v>
      </c>
      <c r="B27" s="279" t="s">
        <v>432</v>
      </c>
      <c r="C27" s="279"/>
      <c r="D27" s="40">
        <f>SUMIF('cth gEDUNG'!$B$8:$B$26,A27,'cth gEDUNG'!$F$8:$F$26)</f>
        <v>210000</v>
      </c>
      <c r="E27" s="40">
        <f>SUMIF('cth gEDUNG'!$B$33:$B$49,A27,'cth gEDUNG'!$F$33:$F$49)</f>
        <v>105000</v>
      </c>
      <c r="F27" s="40">
        <f>SUMIF('cth gEDUNG'!$B$57:$B$67,A27,'cth gEDUNG'!$F$57:$F$67)</f>
        <v>0</v>
      </c>
      <c r="G27" s="40">
        <f>SUMIF('cth gEDUNG'!$B$75:$B$88,A27,'cth gEDUNG'!$F$75:$F$88)</f>
        <v>105000</v>
      </c>
      <c r="H27" s="40">
        <f>SUMIF('cth gEDUNG'!$B$96:$B$110,A27,'cth gEDUNG'!$F$96:$F$110)</f>
        <v>105000</v>
      </c>
      <c r="I27" s="40">
        <f>SUMIF('cth gEDUNG'!$B$118:$B$135,A27,'cth gEDUNG'!$F$118:$F$135)</f>
        <v>0</v>
      </c>
      <c r="J27" s="313">
        <f t="shared" si="8"/>
        <v>525000</v>
      </c>
    </row>
    <row r="28" spans="1:11" x14ac:dyDescent="0.25">
      <c r="A28" s="98">
        <v>5105</v>
      </c>
      <c r="B28" s="279" t="s">
        <v>433</v>
      </c>
      <c r="C28" s="279"/>
      <c r="D28" s="40">
        <f>SUMIF('cth gEDUNG'!$B$8:$B$26,A28,'cth gEDUNG'!$F$8:$F$26)</f>
        <v>247000</v>
      </c>
      <c r="E28" s="40">
        <f>SUMIF('cth gEDUNG'!$B$33:$B$49,A28,'cth gEDUNG'!$F$33:$F$49)</f>
        <v>0</v>
      </c>
      <c r="F28" s="40">
        <f>SUMIF('cth gEDUNG'!$B$57:$B$67,A28,'cth gEDUNG'!$F$57:$F$67)</f>
        <v>0</v>
      </c>
      <c r="G28" s="40">
        <f>SUMIF('cth gEDUNG'!$B$75:$B$88,A28,'cth gEDUNG'!$F$75:$F$88)</f>
        <v>0</v>
      </c>
      <c r="H28" s="40">
        <f>SUMIF('cth gEDUNG'!$B$96:$B$110,A28,'cth gEDUNG'!$F$96:$F$110)</f>
        <v>0</v>
      </c>
      <c r="I28" s="40">
        <f>SUMIF('cth gEDUNG'!$B$118:$B$135,A28,'cth gEDUNG'!$F$118:$F$135)</f>
        <v>0</v>
      </c>
      <c r="J28" s="313">
        <f t="shared" si="8"/>
        <v>247000</v>
      </c>
    </row>
    <row r="29" spans="1:11" x14ac:dyDescent="0.25">
      <c r="A29" s="98">
        <v>5106</v>
      </c>
      <c r="B29" s="279" t="s">
        <v>435</v>
      </c>
      <c r="C29" s="279"/>
      <c r="D29" s="40">
        <f>SUMIF('cth gEDUNG'!$B$8:$B$26,A29,'cth gEDUNG'!$F$8:$F$26)</f>
        <v>300000</v>
      </c>
      <c r="E29" s="40">
        <f>SUMIF('cth gEDUNG'!$B$33:$B$49,A29,'cth gEDUNG'!$F$33:$F$49)</f>
        <v>0</v>
      </c>
      <c r="F29" s="40">
        <f>SUMIF('cth gEDUNG'!$B$57:$B$67,A29,'cth gEDUNG'!$F$57:$F$67)</f>
        <v>0</v>
      </c>
      <c r="G29" s="40">
        <f>SUMIF('cth gEDUNG'!$B$75:$B$88,A29,'cth gEDUNG'!$F$75:$F$88)</f>
        <v>0</v>
      </c>
      <c r="H29" s="40">
        <f>SUMIF('cth gEDUNG'!$B$96:$B$110,A29,'cth gEDUNG'!$F$96:$F$110)</f>
        <v>0</v>
      </c>
      <c r="I29" s="40">
        <f>SUMIF('cth gEDUNG'!$B$118:$B$135,A29,'cth gEDUNG'!$F$118:$F$135)</f>
        <v>0</v>
      </c>
      <c r="J29" s="313">
        <f t="shared" si="8"/>
        <v>300000</v>
      </c>
    </row>
    <row r="30" spans="1:11" x14ac:dyDescent="0.25">
      <c r="A30" s="98">
        <v>5107</v>
      </c>
      <c r="B30" s="42" t="s">
        <v>607</v>
      </c>
      <c r="C30" s="279"/>
      <c r="D30" s="40">
        <f>SUMIF('cth gEDUNG'!$B$8:$B$26,A30,'cth gEDUNG'!$F$8:$F$26)</f>
        <v>0</v>
      </c>
      <c r="E30" s="40">
        <f>SUMIF('cth gEDUNG'!$B$33:$B$49,A30,'cth gEDUNG'!$F$33:$F$49)</f>
        <v>0</v>
      </c>
      <c r="F30" s="40">
        <f>SUMIF('cth gEDUNG'!$B$57:$B$67,A30,'cth gEDUNG'!$F$57:$F$67)</f>
        <v>0</v>
      </c>
      <c r="G30" s="40">
        <f>SUMIF('cth gEDUNG'!$B$75:$B$88,A30,'cth gEDUNG'!$F$75:$F$88)</f>
        <v>0</v>
      </c>
      <c r="H30" s="40">
        <f>SUMIF('cth gEDUNG'!$B$96:$B$110,A30,'cth gEDUNG'!$F$96:$F$110)</f>
        <v>0</v>
      </c>
      <c r="I30" s="40">
        <f>SUMIF('cth gEDUNG'!$B$118:$B$135,A30,'cth gEDUNG'!$F$118:$F$135)</f>
        <v>0</v>
      </c>
      <c r="J30" s="313">
        <f t="shared" si="8"/>
        <v>0</v>
      </c>
    </row>
    <row r="31" spans="1:11" x14ac:dyDescent="0.25">
      <c r="A31" s="98">
        <v>5109</v>
      </c>
      <c r="B31" s="42" t="s">
        <v>690</v>
      </c>
      <c r="C31" s="279"/>
      <c r="D31" s="40">
        <f>SUMIF('cth gEDUNG'!$B$8:$B$26,A31,'cth gEDUNG'!$F$8:$F$26)</f>
        <v>115000</v>
      </c>
      <c r="E31" s="40">
        <f>SUMIF('cth gEDUNG'!$B$33:$B$49,A31,'cth gEDUNG'!$F$33:$F$49)</f>
        <v>0</v>
      </c>
      <c r="F31" s="40">
        <f>SUMIF('cth gEDUNG'!$B$57:$B$67,A31,'cth gEDUNG'!$F$57:$F$67)</f>
        <v>8000</v>
      </c>
      <c r="G31" s="40">
        <f>SUMIF('cth gEDUNG'!$B$75:$B$88,A31,'cth gEDUNG'!$F$75:$F$88)</f>
        <v>0</v>
      </c>
      <c r="H31" s="40">
        <f>SUMIF('cth gEDUNG'!$B$96:$B$110,A31,'cth gEDUNG'!$F$96:$F$110)</f>
        <v>100000</v>
      </c>
      <c r="I31" s="40">
        <f>SUMIF('cth gEDUNG'!$B$118:$B$135,A31,'cth gEDUNG'!$F$118:$F$135)</f>
        <v>360000</v>
      </c>
      <c r="J31" s="313">
        <f t="shared" si="8"/>
        <v>583000</v>
      </c>
    </row>
    <row r="32" spans="1:11" x14ac:dyDescent="0.25">
      <c r="A32" s="98"/>
      <c r="B32" s="98"/>
      <c r="C32" s="98"/>
      <c r="D32" s="98"/>
      <c r="E32" s="98"/>
      <c r="F32" s="98"/>
      <c r="G32" s="98"/>
      <c r="H32" s="98"/>
      <c r="I32" s="98"/>
      <c r="J32" s="56">
        <f t="shared" ref="J32" si="9">SUM(D32:F32)</f>
        <v>0</v>
      </c>
    </row>
    <row r="33" spans="1:12" s="367" customFormat="1" x14ac:dyDescent="0.25">
      <c r="A33" s="34">
        <v>5200</v>
      </c>
      <c r="B33" s="34" t="s">
        <v>438</v>
      </c>
      <c r="C33" s="34"/>
      <c r="D33" s="251">
        <f>SUM(D34:D35)</f>
        <v>0</v>
      </c>
      <c r="E33" s="251">
        <f t="shared" ref="E33:I33" si="10">SUM(E34:E35)</f>
        <v>0</v>
      </c>
      <c r="F33" s="251">
        <f t="shared" si="10"/>
        <v>0</v>
      </c>
      <c r="G33" s="251">
        <f t="shared" si="10"/>
        <v>0</v>
      </c>
      <c r="H33" s="251">
        <f t="shared" si="10"/>
        <v>0</v>
      </c>
      <c r="I33" s="251">
        <f t="shared" si="10"/>
        <v>0</v>
      </c>
      <c r="J33" s="251">
        <f>SUM(J34:J35)</f>
        <v>0</v>
      </c>
    </row>
    <row r="34" spans="1:12" x14ac:dyDescent="0.25">
      <c r="A34" s="98">
        <v>5201</v>
      </c>
      <c r="B34" s="330" t="s">
        <v>439</v>
      </c>
      <c r="C34" s="330"/>
      <c r="D34" s="40">
        <f>SUMIF('cth gEDUNG'!$B$8:$B$26,A34,'cth gEDUNG'!$F$8:$F$26)</f>
        <v>0</v>
      </c>
      <c r="E34" s="40">
        <f>SUMIF('cth gEDUNG'!$B$33:$B$49,A34,'cth gEDUNG'!$F$33:$F$49)</f>
        <v>0</v>
      </c>
      <c r="F34" s="40">
        <f>SUMIF('cth gEDUNG'!$B$57:$B$67,A34,'cth gEDUNG'!$F$57:$F$67)</f>
        <v>0</v>
      </c>
      <c r="G34" s="40">
        <f>SUMIF('cth gEDUNG'!$B$75:$B$88,A34,'cth gEDUNG'!$F$75:$F$88)</f>
        <v>0</v>
      </c>
      <c r="H34" s="40">
        <f>SUMIF('cth gEDUNG'!$B$96:$B$110,A34,'cth gEDUNG'!$F$96:$F$110)</f>
        <v>0</v>
      </c>
      <c r="I34" s="40">
        <f>SUMIF('cth gEDUNG'!$B$118:$B$135,A34,'cth gEDUNG'!$F$118:$F$135)</f>
        <v>0</v>
      </c>
      <c r="J34" s="313">
        <f>SUM(D34:I34)</f>
        <v>0</v>
      </c>
    </row>
    <row r="35" spans="1:12" x14ac:dyDescent="0.25">
      <c r="A35" s="98">
        <v>5202</v>
      </c>
      <c r="B35" s="98" t="s">
        <v>691</v>
      </c>
      <c r="C35" s="330"/>
      <c r="D35" s="40">
        <f>SUMIF('cth gEDUNG'!$B$8:$B$26,A35,'cth gEDUNG'!$F$8:$F$26)</f>
        <v>0</v>
      </c>
      <c r="E35" s="40">
        <f>SUMIF('cth gEDUNG'!$B$33:$B$49,A35,'cth gEDUNG'!$F$33:$F$49)</f>
        <v>0</v>
      </c>
      <c r="F35" s="40">
        <f>SUMIF('cth gEDUNG'!$B$57:$B$67,A35,'cth gEDUNG'!$F$57:$F$67)</f>
        <v>0</v>
      </c>
      <c r="G35" s="40">
        <f>SUMIF('cth gEDUNG'!$B$75:$B$88,A35,'cth gEDUNG'!$F$75:$F$88)</f>
        <v>0</v>
      </c>
      <c r="H35" s="40">
        <f>SUMIF('cth gEDUNG'!$B$96:$B$110,A35,'cth gEDUNG'!$F$96:$F$110)</f>
        <v>0</v>
      </c>
      <c r="I35" s="40">
        <f>SUMIF('cth gEDUNG'!$B$118:$B$135,A35,'cth gEDUNG'!$F$118:$F$135)</f>
        <v>0</v>
      </c>
      <c r="J35" s="313">
        <f>SUM(D35:I35)</f>
        <v>0</v>
      </c>
    </row>
    <row r="36" spans="1:12" x14ac:dyDescent="0.25">
      <c r="A36" s="98"/>
      <c r="B36" s="278"/>
      <c r="C36" s="278"/>
      <c r="D36" s="40"/>
      <c r="E36" s="98"/>
      <c r="F36" s="98"/>
      <c r="G36" s="98"/>
      <c r="H36" s="98"/>
      <c r="I36" s="98"/>
      <c r="J36" s="56"/>
    </row>
    <row r="37" spans="1:12" s="30" customFormat="1" x14ac:dyDescent="0.25">
      <c r="A37" s="34">
        <v>3000</v>
      </c>
      <c r="B37" s="253" t="s">
        <v>6</v>
      </c>
      <c r="C37" s="253"/>
      <c r="D37" s="63">
        <f>SUM(D38:D39)</f>
        <v>0</v>
      </c>
      <c r="E37" s="63">
        <f t="shared" ref="E37:I37" si="11">SUM(E38:E39)</f>
        <v>1000000</v>
      </c>
      <c r="F37" s="63">
        <f t="shared" si="11"/>
        <v>0</v>
      </c>
      <c r="G37" s="63">
        <f t="shared" si="11"/>
        <v>0</v>
      </c>
      <c r="H37" s="63">
        <f t="shared" si="11"/>
        <v>0</v>
      </c>
      <c r="I37" s="63">
        <f t="shared" si="11"/>
        <v>500000</v>
      </c>
      <c r="J37" s="63">
        <f>SUM(J38:J39)</f>
        <v>1500000</v>
      </c>
      <c r="K37" s="64"/>
    </row>
    <row r="38" spans="1:12" x14ac:dyDescent="0.25">
      <c r="A38" s="98">
        <v>3001</v>
      </c>
      <c r="B38" s="279" t="s">
        <v>437</v>
      </c>
      <c r="C38" s="279"/>
      <c r="D38" s="40">
        <f>SUMIF('cth gEDUNG'!$B$8:$B$26,A38,'cth gEDUNG'!$F$8:$F$26)</f>
        <v>0</v>
      </c>
      <c r="E38" s="40">
        <f>SUMIF('cth gEDUNG'!$B$33:$B$49,A38,'cth gEDUNG'!$F$33:$F$49)</f>
        <v>1000000</v>
      </c>
      <c r="F38" s="40">
        <f>SUMIF('cth gEDUNG'!$B$57:$B$67,A38,'cth gEDUNG'!$F$57:$F$67)</f>
        <v>0</v>
      </c>
      <c r="G38" s="40">
        <f>SUMIF('cth gEDUNG'!$B$75:$B$88,A38,'cth gEDUNG'!$F$75:$F$88)</f>
        <v>0</v>
      </c>
      <c r="H38" s="40">
        <f>SUMIF('cth gEDUNG'!$B$96:$B$110,A38,'cth gEDUNG'!$F$96:$F$110)</f>
        <v>0</v>
      </c>
      <c r="I38" s="40">
        <f>SUMIF('cth gEDUNG'!$B$118:$B$135,A38,'cth gEDUNG'!$F$118:$F$135)</f>
        <v>500000</v>
      </c>
      <c r="J38" s="313">
        <f t="shared" ref="J38:J40" si="12">SUM(D38:I38)</f>
        <v>1500000</v>
      </c>
      <c r="K38" s="43"/>
      <c r="L38" s="43"/>
    </row>
    <row r="39" spans="1:12" x14ac:dyDescent="0.25">
      <c r="A39" s="98">
        <v>2002</v>
      </c>
      <c r="B39" s="42" t="s">
        <v>86</v>
      </c>
      <c r="C39" s="42"/>
      <c r="D39" s="40">
        <f>SUMIF('cth gEDUNG'!$B$8:$B$26,A39,'cth gEDUNG'!$F$8:$F$26)</f>
        <v>0</v>
      </c>
      <c r="E39" s="40">
        <f>SUMIF('cth gEDUNG'!$B$33:$B$49,A39,'cth gEDUNG'!$F$33:$F$49)</f>
        <v>0</v>
      </c>
      <c r="F39" s="40">
        <f>SUMIF('cth gEDUNG'!$B$57:$B$67,A39,'cth gEDUNG'!$F$57:$F$67)</f>
        <v>0</v>
      </c>
      <c r="G39" s="40">
        <f>SUMIF('cth gEDUNG'!$B$75:$B$88,A39,'cth gEDUNG'!$F$75:$F$88)</f>
        <v>0</v>
      </c>
      <c r="H39" s="40">
        <f>SUMIF('cth gEDUNG'!$B$96:$B$110,A39,'cth gEDUNG'!$F$96:$F$110)</f>
        <v>0</v>
      </c>
      <c r="I39" s="40">
        <f>SUMIF('cth gEDUNG'!$B$118:$B$135,A39,'cth gEDUNG'!$F$118:$F$135)</f>
        <v>0</v>
      </c>
      <c r="J39" s="313">
        <f t="shared" si="12"/>
        <v>0</v>
      </c>
      <c r="K39" s="43"/>
    </row>
    <row r="40" spans="1:12" s="367" customFormat="1" ht="15.75" thickBot="1" x14ac:dyDescent="0.3">
      <c r="A40" s="34" t="s">
        <v>460</v>
      </c>
      <c r="B40" s="370" t="s">
        <v>462</v>
      </c>
      <c r="C40" s="370"/>
      <c r="D40" s="368">
        <f>SUMIF('cth gEDUNG'!$B$8:$B$26,A40,'cth gEDUNG'!$F$8:$F$26)</f>
        <v>0</v>
      </c>
      <c r="E40" s="368">
        <f>SUMIF('cth gEDUNG'!$B$33:$B$49,A40,'cth gEDUNG'!$F$33:$F$49)</f>
        <v>0</v>
      </c>
      <c r="F40" s="368">
        <f>SUMIF('cth gEDUNG'!$B$57:$B$67,A40,'cth gEDUNG'!$F$57:$F$67)</f>
        <v>0</v>
      </c>
      <c r="G40" s="368">
        <f>SUMIF('cth gEDUNG'!$B$75:$B$88,A40,'cth gEDUNG'!$F$75:$F$88)</f>
        <v>0</v>
      </c>
      <c r="H40" s="368">
        <f>SUMIF('cth gEDUNG'!$B$96:$B$110,A40,'cth gEDUNG'!$F$96:$F$110)</f>
        <v>0</v>
      </c>
      <c r="I40" s="368">
        <f>SUMIF('cth gEDUNG'!$B$118:$B$135,A40,'cth gEDUNG'!$F$118:$F$135)</f>
        <v>0</v>
      </c>
      <c r="J40" s="36">
        <f t="shared" si="12"/>
        <v>0</v>
      </c>
      <c r="K40" s="64"/>
    </row>
    <row r="41" spans="1:12" s="65" customFormat="1" ht="19.5" customHeight="1" x14ac:dyDescent="0.25">
      <c r="A41" s="296"/>
      <c r="B41" s="296" t="s">
        <v>5</v>
      </c>
      <c r="C41" s="296"/>
      <c r="D41" s="297">
        <f>D37+D22+D33+D40</f>
        <v>872000</v>
      </c>
      <c r="E41" s="297">
        <f t="shared" ref="E41:J41" si="13">E37+E22+E33+E40</f>
        <v>1105000</v>
      </c>
      <c r="F41" s="297">
        <f>F37+F22+F33+F40</f>
        <v>30000</v>
      </c>
      <c r="G41" s="297">
        <f t="shared" si="13"/>
        <v>105000</v>
      </c>
      <c r="H41" s="297">
        <f t="shared" si="13"/>
        <v>205000</v>
      </c>
      <c r="I41" s="297">
        <f t="shared" si="13"/>
        <v>860000</v>
      </c>
      <c r="J41" s="297">
        <f t="shared" si="13"/>
        <v>3177000</v>
      </c>
      <c r="K41" s="66"/>
    </row>
    <row r="42" spans="1:12" s="65" customFormat="1" ht="19.5" customHeight="1" thickBot="1" x14ac:dyDescent="0.3">
      <c r="A42" s="298"/>
      <c r="B42" s="298" t="s">
        <v>100</v>
      </c>
      <c r="C42" s="298"/>
      <c r="D42" s="299">
        <f>D20-D41</f>
        <v>1368000</v>
      </c>
      <c r="E42" s="299">
        <f>E20-E41</f>
        <v>2155000</v>
      </c>
      <c r="F42" s="299">
        <f>F20-F41</f>
        <v>1980000</v>
      </c>
      <c r="G42" s="299">
        <f>G20-G41</f>
        <v>1295000</v>
      </c>
      <c r="H42" s="299">
        <f>H20-H41</f>
        <v>1685000</v>
      </c>
      <c r="I42" s="299">
        <f>I20-I41</f>
        <v>2880000</v>
      </c>
      <c r="J42" s="299">
        <f>J20-J41</f>
        <v>11363000</v>
      </c>
    </row>
    <row r="44" spans="1:12" x14ac:dyDescent="0.25">
      <c r="D44" s="342"/>
      <c r="E44" s="342"/>
      <c r="F44" s="342"/>
      <c r="G44" s="342"/>
      <c r="H44" s="342"/>
      <c r="I44" s="342"/>
    </row>
    <row r="45" spans="1:12" ht="19.5" x14ac:dyDescent="0.3">
      <c r="A45" s="29" t="s">
        <v>355</v>
      </c>
    </row>
    <row r="46" spans="1:12" ht="18.75" x14ac:dyDescent="0.3">
      <c r="A46" s="26" t="s">
        <v>356</v>
      </c>
    </row>
    <row r="47" spans="1:12" x14ac:dyDescent="0.25">
      <c r="A47" s="30" t="s">
        <v>748</v>
      </c>
    </row>
    <row r="48" spans="1:12" x14ac:dyDescent="0.25">
      <c r="A48" s="267" t="s">
        <v>430</v>
      </c>
    </row>
    <row r="49" spans="1:11" x14ac:dyDescent="0.25">
      <c r="A49" s="267"/>
    </row>
    <row r="50" spans="1:11" x14ac:dyDescent="0.25">
      <c r="A50" s="267"/>
    </row>
    <row r="51" spans="1:11" x14ac:dyDescent="0.25">
      <c r="A51" s="856" t="s">
        <v>9</v>
      </c>
      <c r="B51" s="856" t="s">
        <v>20</v>
      </c>
      <c r="C51" s="340" t="s">
        <v>445</v>
      </c>
      <c r="D51" s="857">
        <v>2024</v>
      </c>
      <c r="E51" s="858"/>
      <c r="F51" s="858"/>
      <c r="G51" s="858"/>
      <c r="H51" s="858"/>
      <c r="I51" s="859"/>
      <c r="J51" s="860" t="s">
        <v>93</v>
      </c>
    </row>
    <row r="52" spans="1:11" x14ac:dyDescent="0.25">
      <c r="A52" s="856"/>
      <c r="B52" s="856"/>
      <c r="C52" s="329"/>
      <c r="D52" s="338" t="s">
        <v>440</v>
      </c>
      <c r="E52" s="338" t="s">
        <v>441</v>
      </c>
      <c r="F52" s="338" t="s">
        <v>442</v>
      </c>
      <c r="G52" s="338" t="s">
        <v>443</v>
      </c>
      <c r="H52" s="338" t="s">
        <v>14</v>
      </c>
      <c r="I52" s="338" t="s">
        <v>15</v>
      </c>
      <c r="J52" s="860"/>
    </row>
    <row r="53" spans="1:11" x14ac:dyDescent="0.25">
      <c r="A53" s="325"/>
      <c r="B53" s="325"/>
      <c r="C53" s="325"/>
      <c r="D53" s="3"/>
      <c r="E53" s="3"/>
      <c r="F53" s="3"/>
      <c r="G53" s="3"/>
      <c r="H53" s="3"/>
      <c r="I53" s="3"/>
      <c r="J53" s="33"/>
    </row>
    <row r="54" spans="1:11" x14ac:dyDescent="0.25">
      <c r="A54" s="34">
        <v>1000</v>
      </c>
      <c r="B54" s="34" t="s">
        <v>82</v>
      </c>
      <c r="C54" s="389">
        <f>J10</f>
        <v>0</v>
      </c>
      <c r="D54" s="35"/>
      <c r="E54" s="35">
        <f>SUMIF('cth sp'!$B$89:$B$107,A54,'cth sp'!$E$89:$E$107)</f>
        <v>0</v>
      </c>
      <c r="F54" s="35"/>
      <c r="G54" s="35"/>
      <c r="H54" s="35"/>
      <c r="I54" s="35"/>
      <c r="J54" s="41">
        <f>SUM(C54:I54)</f>
        <v>0</v>
      </c>
    </row>
    <row r="55" spans="1:11" x14ac:dyDescent="0.25">
      <c r="A55" s="34"/>
      <c r="B55" s="34"/>
      <c r="C55" s="34"/>
      <c r="D55" s="35"/>
      <c r="E55" s="35"/>
      <c r="F55" s="35"/>
      <c r="G55" s="35"/>
      <c r="H55" s="35"/>
      <c r="I55" s="35"/>
      <c r="J55" s="36"/>
    </row>
    <row r="56" spans="1:11" x14ac:dyDescent="0.25">
      <c r="A56" s="34">
        <v>2000</v>
      </c>
      <c r="B56" s="34" t="s">
        <v>90</v>
      </c>
      <c r="C56" s="35">
        <f>SUM(C57:C60)</f>
        <v>14540000</v>
      </c>
      <c r="D56" s="35">
        <f>SUM(D57:D60)</f>
        <v>2090000</v>
      </c>
      <c r="E56" s="35">
        <f t="shared" ref="E56:I56" si="14">SUM(E57:E60)</f>
        <v>1600000</v>
      </c>
      <c r="F56" s="35">
        <f t="shared" si="14"/>
        <v>1440000</v>
      </c>
      <c r="G56" s="35">
        <f t="shared" si="14"/>
        <v>2160000</v>
      </c>
      <c r="H56" s="35">
        <f t="shared" si="14"/>
        <v>3890000</v>
      </c>
      <c r="I56" s="35">
        <f t="shared" si="14"/>
        <v>4230000</v>
      </c>
      <c r="J56" s="35">
        <f>SUM(J57:J60)</f>
        <v>29950000</v>
      </c>
      <c r="K56" s="342"/>
    </row>
    <row r="57" spans="1:11" x14ac:dyDescent="0.25">
      <c r="A57" s="38">
        <v>2001</v>
      </c>
      <c r="B57" s="39" t="s">
        <v>422</v>
      </c>
      <c r="C57" s="341">
        <f>J13</f>
        <v>8200000</v>
      </c>
      <c r="D57" s="40">
        <f>SUMIF('cth gEDUNG'!$B$142:$B$158,A57,'cth gEDUNG'!$E$142:$E$158)</f>
        <v>1290000</v>
      </c>
      <c r="E57" s="40">
        <f>SUMIF('cth gEDUNG'!$B$165:$B$181,A57,'cth gEDUNG'!$E$165:$E$181)</f>
        <v>1600000</v>
      </c>
      <c r="F57" s="40">
        <f>SUMIF('cth gEDUNG'!$B$188:$B$202,A57,'cth gEDUNG'!$E$188:$E$202)</f>
        <v>1080000</v>
      </c>
      <c r="G57" s="40">
        <f>SUMIF('cth gEDUNG'!$B$209:$B$224,A57,'cth gEDUNG'!$E$209:$E$224)</f>
        <v>1760000</v>
      </c>
      <c r="H57" s="40">
        <f>SUMIF('cth gEDUNG'!$B$231:$B$249,A57,'cth gEDUNG'!$E$231:$E$249)</f>
        <v>1140000</v>
      </c>
      <c r="I57" s="40">
        <f>SUMIF('cth gEDUNG'!$B$256:$B$276,A57,'cth gEDUNG'!$E$256:$E$276)</f>
        <v>1230000</v>
      </c>
      <c r="J57" s="41">
        <f>SUM(C57:I57)</f>
        <v>16300000</v>
      </c>
    </row>
    <row r="58" spans="1:11" x14ac:dyDescent="0.25">
      <c r="A58" s="98">
        <v>2002</v>
      </c>
      <c r="B58" s="42" t="s">
        <v>423</v>
      </c>
      <c r="C58" s="341">
        <f>J14</f>
        <v>6340000</v>
      </c>
      <c r="D58" s="40">
        <f>SUMIF('cth gEDUNG'!$B$142:$B$158,A58,'cth gEDUNG'!$E$142:$E$158)</f>
        <v>800000</v>
      </c>
      <c r="E58" s="40">
        <f>SUMIF('cth gEDUNG'!$B$165:$B$181,A58,'cth gEDUNG'!$E$165:$E$181)</f>
        <v>0</v>
      </c>
      <c r="F58" s="40">
        <f>SUMIF('cth gEDUNG'!$B$188:$B$202,A58,'cth gEDUNG'!$E$188:$E$202)</f>
        <v>360000</v>
      </c>
      <c r="G58" s="40">
        <f>SUMIF('cth gEDUNG'!$B$209:$B$224,A58,'cth gEDUNG'!$E$209:$E$224)</f>
        <v>400000</v>
      </c>
      <c r="H58" s="40">
        <f>SUMIF('cth gEDUNG'!$B$231:$B$249,A58,'cth gEDUNG'!$E$231:$E$249)</f>
        <v>2750000</v>
      </c>
      <c r="I58" s="40">
        <f>SUMIF('cth gEDUNG'!$B$256:$B$276,A58,'cth gEDUNG'!$E$256:$E$276)</f>
        <v>2400000</v>
      </c>
      <c r="J58" s="41">
        <f t="shared" ref="J58:J60" si="15">SUM(C58:I58)</f>
        <v>13050000</v>
      </c>
    </row>
    <row r="59" spans="1:11" x14ac:dyDescent="0.25">
      <c r="A59" s="98">
        <v>2003</v>
      </c>
      <c r="B59" s="279" t="s">
        <v>436</v>
      </c>
      <c r="C59" s="341">
        <f>J15</f>
        <v>0</v>
      </c>
      <c r="D59" s="40">
        <f>SUMIF('cth gEDUNG'!$B$142:$B$158,A59,'cth gEDUNG'!$E$142:$E$158)</f>
        <v>0</v>
      </c>
      <c r="E59" s="40">
        <f>SUMIF('cth gEDUNG'!$B$165:$B$181,A59,'cth gEDUNG'!$E$165:$E$181)</f>
        <v>0</v>
      </c>
      <c r="F59" s="40">
        <f>SUMIF('cth gEDUNG'!$B$188:$B$202,A59,'cth gEDUNG'!$E$188:$E$202)</f>
        <v>0</v>
      </c>
      <c r="G59" s="40">
        <f>SUMIF('cth gEDUNG'!$B$209:$B$224,A59,'cth gEDUNG'!$E$209:$E$224)</f>
        <v>0</v>
      </c>
      <c r="H59" s="40">
        <f>SUMIF('cth gEDUNG'!$B$231:$B$249,A59,'cth gEDUNG'!$E$231:$E$249)</f>
        <v>0</v>
      </c>
      <c r="I59" s="40">
        <f>SUMIF('cth gEDUNG'!$B$256:$B$276,A59,'cth gEDUNG'!$E$256:$E$276)</f>
        <v>600000</v>
      </c>
      <c r="J59" s="41">
        <f t="shared" si="15"/>
        <v>600000</v>
      </c>
    </row>
    <row r="60" spans="1:11" x14ac:dyDescent="0.25">
      <c r="A60" s="98">
        <v>2099</v>
      </c>
      <c r="B60" s="42" t="s">
        <v>92</v>
      </c>
      <c r="C60" s="341">
        <f>J16</f>
        <v>0</v>
      </c>
      <c r="D60" s="40">
        <f>SUMIF('cth gEDUNG'!$B$142:$B$158,A60,'cth gEDUNG'!$E$142:$E$158)</f>
        <v>0</v>
      </c>
      <c r="E60" s="40">
        <f>SUMIF('cth gEDUNG'!$B$165:$B$181,A60,'cth gEDUNG'!$E$165:$E$181)</f>
        <v>0</v>
      </c>
      <c r="F60" s="40">
        <f>SUMIF('cth gEDUNG'!$B$188:$B$202,A60,'cth gEDUNG'!$E$188:$E$202)</f>
        <v>0</v>
      </c>
      <c r="G60" s="40">
        <f>SUMIF('cth gEDUNG'!$B$209:$B$224,A60,'cth gEDUNG'!$E$209:$E$224)</f>
        <v>0</v>
      </c>
      <c r="H60" s="40">
        <f>SUMIF('cth gEDUNG'!$B$231:$B$249,A60,'cth gEDUNG'!$E$231:$E$249)</f>
        <v>0</v>
      </c>
      <c r="I60" s="40">
        <f>SUMIF('cth gEDUNG'!$B$256:$B$276,A60,'cth gEDUNG'!$E$256:$E$276)</f>
        <v>0</v>
      </c>
      <c r="J60" s="41">
        <f t="shared" si="15"/>
        <v>0</v>
      </c>
    </row>
    <row r="61" spans="1:11" x14ac:dyDescent="0.25">
      <c r="A61" s="276">
        <v>3000</v>
      </c>
      <c r="B61" s="276" t="s">
        <v>427</v>
      </c>
      <c r="C61" s="277">
        <f>SUM(C62:C63)</f>
        <v>0</v>
      </c>
      <c r="D61" s="277">
        <f t="shared" ref="D61:J61" si="16">SUM(D62:D63)</f>
        <v>500000</v>
      </c>
      <c r="E61" s="277">
        <f t="shared" si="16"/>
        <v>0</v>
      </c>
      <c r="F61" s="277">
        <f t="shared" si="16"/>
        <v>0</v>
      </c>
      <c r="G61" s="277">
        <f t="shared" si="16"/>
        <v>0</v>
      </c>
      <c r="H61" s="277">
        <f t="shared" si="16"/>
        <v>0</v>
      </c>
      <c r="I61" s="277">
        <f t="shared" si="16"/>
        <v>1000000</v>
      </c>
      <c r="J61" s="277">
        <f t="shared" si="16"/>
        <v>1500000</v>
      </c>
    </row>
    <row r="62" spans="1:11" x14ac:dyDescent="0.25">
      <c r="A62" s="98">
        <v>3001</v>
      </c>
      <c r="B62" s="42" t="s">
        <v>697</v>
      </c>
      <c r="C62" s="341">
        <f>J18</f>
        <v>0</v>
      </c>
      <c r="D62" s="40">
        <f>SUMIF('cth gEDUNG'!$B$142:$B$158,A62,'cth gEDUNG'!$E$142:$E$158)</f>
        <v>500000</v>
      </c>
      <c r="E62" s="40">
        <f>SUMIF('cth gEDUNG'!$B$165:$B$181,A62,'cth gEDUNG'!$E$165:$E$181)</f>
        <v>0</v>
      </c>
      <c r="F62" s="40">
        <f>SUMIF('cth gEDUNG'!$B$188:$B$202,A62,'cth gEDUNG'!$E$188:$E$202)</f>
        <v>0</v>
      </c>
      <c r="G62" s="40">
        <f>SUMIF('cth gEDUNG'!$B$209:$B$224,A62,'cth gEDUNG'!$E$209:$E$224)</f>
        <v>0</v>
      </c>
      <c r="H62" s="40">
        <f>SUMIF('cth gEDUNG'!$B$231:$B$249,A62,'cth gEDUNG'!$E$231:$E$249)</f>
        <v>0</v>
      </c>
      <c r="I62" s="40">
        <f>SUMIF('cth gEDUNG'!$B$256:$B$276,A62,'cth gEDUNG'!$E$256:$E$276)</f>
        <v>1000000</v>
      </c>
      <c r="J62" s="41">
        <f>SUM(C62:I62)</f>
        <v>1500000</v>
      </c>
    </row>
    <row r="63" spans="1:11" x14ac:dyDescent="0.25">
      <c r="A63" s="98"/>
      <c r="B63" s="42"/>
      <c r="C63" s="341">
        <f>J18</f>
        <v>0</v>
      </c>
      <c r="D63" s="40">
        <f>SUMIF('cth gEDUNG'!$B$142:$B$158,A63,'cth gEDUNG'!$E$142:$E$158)</f>
        <v>0</v>
      </c>
      <c r="E63" s="40">
        <f>SUMIF('cth gEDUNG'!$B$165:$B$181,A63,'cth gEDUNG'!$E$165:$E$181)</f>
        <v>0</v>
      </c>
      <c r="F63" s="40">
        <f>SUMIF('cth gEDUNG'!$B$188:$B$202,A63,'cth gEDUNG'!$E$188:$E$202)</f>
        <v>0</v>
      </c>
      <c r="G63" s="40">
        <f>SUMIF('cth gEDUNG'!$B$209:$B$224,A63,'cth gEDUNG'!$E$209:$E$224)</f>
        <v>0</v>
      </c>
      <c r="H63" s="40">
        <f>SUMIF('cth gEDUNG'!$B$231:$B$249,A63,'cth gEDUNG'!$E$231:$E$249)</f>
        <v>0</v>
      </c>
      <c r="I63" s="40">
        <f>SUMIF('cth gEDUNG'!$B$256:$B$276,A63,'cth gEDUNG'!$E$256:$E$276)</f>
        <v>0</v>
      </c>
      <c r="J63" s="41">
        <f>SUM(D63:I63)</f>
        <v>0</v>
      </c>
    </row>
    <row r="64" spans="1:11" x14ac:dyDescent="0.25">
      <c r="A64" s="98"/>
      <c r="B64" s="57"/>
      <c r="C64" s="57"/>
      <c r="D64" s="44"/>
      <c r="E64" s="44"/>
      <c r="F64" s="44"/>
      <c r="G64" s="44"/>
      <c r="H64" s="44"/>
      <c r="I64" s="44"/>
      <c r="J64" s="36"/>
    </row>
    <row r="65" spans="1:11" x14ac:dyDescent="0.25">
      <c r="A65" s="49"/>
      <c r="B65" s="58" t="s">
        <v>102</v>
      </c>
      <c r="C65" s="59">
        <f>C54+C56+C61</f>
        <v>14540000</v>
      </c>
      <c r="D65" s="59">
        <f t="shared" ref="D65:J65" si="17">D54+D56+D61</f>
        <v>2590000</v>
      </c>
      <c r="E65" s="59">
        <f t="shared" si="17"/>
        <v>1600000</v>
      </c>
      <c r="F65" s="59">
        <f t="shared" si="17"/>
        <v>1440000</v>
      </c>
      <c r="G65" s="59">
        <f t="shared" si="17"/>
        <v>2160000</v>
      </c>
      <c r="H65" s="59">
        <f t="shared" si="17"/>
        <v>3890000</v>
      </c>
      <c r="I65" s="59">
        <f t="shared" si="17"/>
        <v>5230000</v>
      </c>
      <c r="J65" s="59">
        <f t="shared" si="17"/>
        <v>31450000</v>
      </c>
      <c r="K65" s="342"/>
    </row>
    <row r="66" spans="1:11" x14ac:dyDescent="0.25">
      <c r="A66" s="98"/>
      <c r="B66" s="98"/>
      <c r="C66" s="98"/>
      <c r="D66" s="44"/>
      <c r="E66" s="496"/>
      <c r="F66" s="496"/>
      <c r="G66" s="496"/>
      <c r="H66" s="496"/>
      <c r="I66" s="62"/>
      <c r="J66" s="56"/>
      <c r="K66" s="342"/>
    </row>
    <row r="67" spans="1:11" x14ac:dyDescent="0.25">
      <c r="A67" s="61">
        <v>5000</v>
      </c>
      <c r="B67" s="61" t="s">
        <v>85</v>
      </c>
      <c r="C67" s="60">
        <f>C68</f>
        <v>1677000</v>
      </c>
      <c r="D67" s="60">
        <f t="shared" ref="D67:I67" si="18">D68</f>
        <v>355000</v>
      </c>
      <c r="E67" s="60">
        <f t="shared" si="18"/>
        <v>795000</v>
      </c>
      <c r="F67" s="60">
        <f t="shared" si="18"/>
        <v>305000</v>
      </c>
      <c r="G67" s="60">
        <f t="shared" si="18"/>
        <v>160000</v>
      </c>
      <c r="H67" s="60">
        <f t="shared" si="18"/>
        <v>1080000</v>
      </c>
      <c r="I67" s="60">
        <f t="shared" si="18"/>
        <v>16406900</v>
      </c>
      <c r="J67" s="60">
        <f>J68</f>
        <v>20778900</v>
      </c>
    </row>
    <row r="68" spans="1:11" x14ac:dyDescent="0.25">
      <c r="A68" s="98">
        <v>5100</v>
      </c>
      <c r="B68" s="34" t="s">
        <v>94</v>
      </c>
      <c r="C68" s="432">
        <f>SUM(C69:C76)</f>
        <v>1677000</v>
      </c>
      <c r="D68" s="432">
        <f>SUM(D69:D76)</f>
        <v>355000</v>
      </c>
      <c r="E68" s="432">
        <f t="shared" ref="E68:I68" si="19">SUM(E69:E76)</f>
        <v>795000</v>
      </c>
      <c r="F68" s="432">
        <f t="shared" si="19"/>
        <v>305000</v>
      </c>
      <c r="G68" s="432">
        <f t="shared" si="19"/>
        <v>160000</v>
      </c>
      <c r="H68" s="432">
        <f t="shared" si="19"/>
        <v>1080000</v>
      </c>
      <c r="I68" s="432">
        <f t="shared" si="19"/>
        <v>16406900</v>
      </c>
      <c r="J68" s="432">
        <f>SUM(J69:J76)</f>
        <v>20778900</v>
      </c>
      <c r="K68" s="342"/>
    </row>
    <row r="69" spans="1:11" x14ac:dyDescent="0.25">
      <c r="A69" s="98">
        <v>5101</v>
      </c>
      <c r="B69" s="42" t="s">
        <v>95</v>
      </c>
      <c r="C69" s="341">
        <f>J24</f>
        <v>0</v>
      </c>
      <c r="D69" s="40">
        <f>SUMIF('cth gEDUNG'!$B$142:$B$158,A69,'cth gEDUNG'!$F$142:$F$158)</f>
        <v>0</v>
      </c>
      <c r="E69" s="40">
        <f>SUMIF('cth gEDUNG'!$B$165:$B$181,A69,'cth gEDUNG'!$F$165:$F$181)</f>
        <v>0</v>
      </c>
      <c r="F69" s="40">
        <f>SUMIF('cth gEDUNG'!$B$188:$B$202,A69,'cth gEDUNG'!$F$188:$F$202)</f>
        <v>0</v>
      </c>
      <c r="G69" s="40">
        <f>SUMIF('cth gEDUNG'!$B$209:$B$224,A69,'cth gEDUNG'!$F$209:$F$224)</f>
        <v>0</v>
      </c>
      <c r="H69" s="40">
        <f>SUMIF('cth gEDUNG'!$B$231:$B$249,A69,'cth gEDUNG'!$F$231:$F$249)</f>
        <v>200000</v>
      </c>
      <c r="I69" s="40">
        <f>SUMIF('cth gEDUNG'!$B$256:$B$276,A69,'cth gEDUNG'!$F$256:$F$276)</f>
        <v>16153800</v>
      </c>
      <c r="J69" s="41">
        <f>SUM(C69:I69)</f>
        <v>16353800</v>
      </c>
    </row>
    <row r="70" spans="1:11" x14ac:dyDescent="0.25">
      <c r="A70" s="98">
        <v>5102</v>
      </c>
      <c r="B70" s="42" t="s">
        <v>96</v>
      </c>
      <c r="C70" s="341">
        <f>J25</f>
        <v>0</v>
      </c>
      <c r="D70" s="40">
        <f>SUMIF('cth gEDUNG'!$B$142:$B$158,A70,'cth gEDUNG'!$F$142:$F$158)</f>
        <v>0</v>
      </c>
      <c r="E70" s="40">
        <f>SUMIF('cth gEDUNG'!$B$165:$B$181,A70,'cth gEDUNG'!$F$165:$F$181)</f>
        <v>0</v>
      </c>
      <c r="F70" s="40">
        <f>SUMIF('cth gEDUNG'!$B$188:$B$202,A70,'cth gEDUNG'!$F$188:$F$202)</f>
        <v>0</v>
      </c>
      <c r="G70" s="40">
        <f>SUMIF('cth gEDUNG'!$B$209:$B$224,A70,'cth gEDUNG'!$F$209:$F$224)</f>
        <v>0</v>
      </c>
      <c r="H70" s="40">
        <f>SUMIF('cth gEDUNG'!$B$231:$B$249,A70,'cth gEDUNG'!$F$231:$F$249)</f>
        <v>0</v>
      </c>
      <c r="I70" s="40">
        <f>SUMIF('cth gEDUNG'!$B$256:$B$276,A70,'cth gEDUNG'!$F$256:$F$276)</f>
        <v>0</v>
      </c>
      <c r="J70" s="41">
        <f t="shared" ref="J70:J76" si="20">SUM(C70:I70)</f>
        <v>0</v>
      </c>
    </row>
    <row r="71" spans="1:11" x14ac:dyDescent="0.25">
      <c r="A71" s="98">
        <v>5103</v>
      </c>
      <c r="B71" s="279" t="s">
        <v>431</v>
      </c>
      <c r="C71" s="341">
        <f>J26</f>
        <v>22000</v>
      </c>
      <c r="D71" s="40">
        <f>SUMIF('cth gEDUNG'!$B$142:$B$158,A71,'cth gEDUNG'!$F$142:$F$158)</f>
        <v>0</v>
      </c>
      <c r="E71" s="40">
        <f>SUMIF('cth gEDUNG'!$B$165:$B$181,A71,'cth gEDUNG'!$F$165:$F$181)</f>
        <v>0</v>
      </c>
      <c r="F71" s="40">
        <f>SUMIF('cth gEDUNG'!$B$188:$B$202,A71,'cth gEDUNG'!$F$188:$F$202)</f>
        <v>0</v>
      </c>
      <c r="G71" s="40">
        <f>SUMIF('cth gEDUNG'!$B$209:$B$224,A71,'cth gEDUNG'!$F$209:$F$224)</f>
        <v>0</v>
      </c>
      <c r="H71" s="40">
        <f>SUMIF('cth gEDUNG'!$B$231:$B$249,A71,'cth gEDUNG'!$F$231:$F$249)</f>
        <v>270000</v>
      </c>
      <c r="I71" s="40">
        <f>SUMIF('cth gEDUNG'!$B$256:$B$276,A71,'cth gEDUNG'!$F$256:$F$276)</f>
        <v>0</v>
      </c>
      <c r="J71" s="41">
        <f t="shared" si="20"/>
        <v>292000</v>
      </c>
    </row>
    <row r="72" spans="1:11" x14ac:dyDescent="0.25">
      <c r="A72" s="98">
        <v>5104</v>
      </c>
      <c r="B72" s="279" t="s">
        <v>432</v>
      </c>
      <c r="C72" s="341">
        <f>J27</f>
        <v>525000</v>
      </c>
      <c r="D72" s="40">
        <f>SUMIF('cth gEDUNG'!$B$142:$B$158,A72,'cth gEDUNG'!$F$142:$F$158)</f>
        <v>305000</v>
      </c>
      <c r="E72" s="40">
        <f>SUMIF('cth gEDUNG'!$B$165:$B$181,A72,'cth gEDUNG'!$F$165:$F$181)</f>
        <v>105000</v>
      </c>
      <c r="F72" s="40">
        <f>SUMIF('cth gEDUNG'!$B$188:$B$202,A72,'cth gEDUNG'!$F$188:$F$202)</f>
        <v>105000</v>
      </c>
      <c r="G72" s="40">
        <f>SUMIF('cth gEDUNG'!$B$209:$B$224,A72,'cth gEDUNG'!$F$209:$F$224)</f>
        <v>160000</v>
      </c>
      <c r="H72" s="40">
        <f>SUMIF('cth gEDUNG'!$B$231:$B$249,A72,'cth gEDUNG'!$F$231:$F$249)</f>
        <v>210000</v>
      </c>
      <c r="I72" s="40">
        <f>SUMIF('cth gEDUNG'!$B$256:$B$276,A72,'cth gEDUNG'!$F$256:$F$276)</f>
        <v>105000</v>
      </c>
      <c r="J72" s="41">
        <f t="shared" si="20"/>
        <v>1515000</v>
      </c>
    </row>
    <row r="73" spans="1:11" x14ac:dyDescent="0.25">
      <c r="A73" s="98">
        <v>5105</v>
      </c>
      <c r="B73" s="279" t="s">
        <v>433</v>
      </c>
      <c r="C73" s="341">
        <f>J28</f>
        <v>247000</v>
      </c>
      <c r="D73" s="40">
        <f>SUMIF('cth gEDUNG'!$B$142:$B$158,A73,'cth gEDUNG'!$F$142:$F$158)</f>
        <v>0</v>
      </c>
      <c r="E73" s="40">
        <f>SUMIF('cth gEDUNG'!$B$165:$B$181,A73,'cth gEDUNG'!$F$165:$F$181)</f>
        <v>0</v>
      </c>
      <c r="F73" s="40">
        <f>SUMIF('cth gEDUNG'!$B$188:$B$202,A73,'cth gEDUNG'!$F$188:$F$202)</f>
        <v>150000</v>
      </c>
      <c r="G73" s="40">
        <f>SUMIF('cth gEDUNG'!$B$209:$B$224,A73,'cth gEDUNG'!$F$209:$F$224)</f>
        <v>0</v>
      </c>
      <c r="H73" s="40">
        <f>SUMIF('cth gEDUNG'!$B$231:$B$249,A73,'cth gEDUNG'!$F$231:$F$249)</f>
        <v>200000</v>
      </c>
      <c r="I73" s="40">
        <f>SUMIF('cth gEDUNG'!$B$256:$B$276,A73,'cth gEDUNG'!$F$256:$F$276)</f>
        <v>0</v>
      </c>
      <c r="J73" s="41">
        <f t="shared" si="20"/>
        <v>597000</v>
      </c>
    </row>
    <row r="74" spans="1:11" x14ac:dyDescent="0.25">
      <c r="A74" s="98">
        <v>5106</v>
      </c>
      <c r="B74" s="279" t="s">
        <v>435</v>
      </c>
      <c r="C74" s="341">
        <f>J29</f>
        <v>300000</v>
      </c>
      <c r="D74" s="40">
        <f>SUMIF('cth gEDUNG'!$B$142:$B$158,A74,'cth gEDUNG'!$F$142:$F$158)</f>
        <v>0</v>
      </c>
      <c r="E74" s="40">
        <f>SUMIF('cth gEDUNG'!$B$165:$B$181,A74,'cth gEDUNG'!$F$165:$F$181)</f>
        <v>0</v>
      </c>
      <c r="F74" s="40">
        <f>SUMIF('cth gEDUNG'!$B$188:$B$202,A74,'cth gEDUNG'!$F$188:$F$202)</f>
        <v>0</v>
      </c>
      <c r="G74" s="40">
        <f>SUMIF('cth gEDUNG'!$B$209:$B$224,A74,'cth gEDUNG'!$F$209:$F$224)</f>
        <v>0</v>
      </c>
      <c r="H74" s="40">
        <f>SUMIF('cth gEDUNG'!$B$231:$B$249,A74,'cth gEDUNG'!$F$231:$F$249)</f>
        <v>0</v>
      </c>
      <c r="I74" s="40">
        <f>SUMIF('cth gEDUNG'!$B$256:$B$276,A74,'cth gEDUNG'!$F$256:$F$276)</f>
        <v>0</v>
      </c>
      <c r="J74" s="41">
        <f t="shared" si="20"/>
        <v>300000</v>
      </c>
    </row>
    <row r="75" spans="1:11" x14ac:dyDescent="0.25">
      <c r="A75" s="98">
        <v>5107</v>
      </c>
      <c r="B75" s="42" t="s">
        <v>607</v>
      </c>
      <c r="C75" s="341">
        <f>J30</f>
        <v>0</v>
      </c>
      <c r="D75" s="40">
        <f>SUMIF('cth gEDUNG'!$B$142:$B$158,A75,'cth gEDUNG'!$F$142:$F$158)</f>
        <v>0</v>
      </c>
      <c r="E75" s="40">
        <f>SUMIF('cth gEDUNG'!$B$165:$B$181,A75,'cth gEDUNG'!$F$165:$F$181)</f>
        <v>0</v>
      </c>
      <c r="F75" s="40">
        <f>SUMIF('cth gEDUNG'!$B$188:$B$202,A75,'cth gEDUNG'!$F$188:$F$202)</f>
        <v>0</v>
      </c>
      <c r="G75" s="40">
        <f>SUMIF('cth gEDUNG'!$B$209:$B$224,A75,'cth gEDUNG'!$F$209:$F$224)</f>
        <v>0</v>
      </c>
      <c r="H75" s="40">
        <f>SUMIF('cth gEDUNG'!$B$231:$B$249,A75,'cth gEDUNG'!$F$231:$F$249)</f>
        <v>0</v>
      </c>
      <c r="I75" s="40">
        <f>SUMIF('cth gEDUNG'!$B$256:$B$276,A75,'cth gEDUNG'!$F$256:$F$276)</f>
        <v>0</v>
      </c>
      <c r="J75" s="41">
        <f t="shared" si="20"/>
        <v>0</v>
      </c>
    </row>
    <row r="76" spans="1:11" x14ac:dyDescent="0.25">
      <c r="A76" s="98">
        <v>5109</v>
      </c>
      <c r="B76" s="279" t="s">
        <v>434</v>
      </c>
      <c r="C76" s="341">
        <f>J31</f>
        <v>583000</v>
      </c>
      <c r="D76" s="40">
        <f>SUMIF('cth gEDUNG'!$B$142:$B$158,A76,'cth gEDUNG'!$F$142:$F$158)</f>
        <v>50000</v>
      </c>
      <c r="E76" s="40">
        <f>SUMIF('cth gEDUNG'!$B$165:$B$181,A76,'cth gEDUNG'!$F$165:$F$181)</f>
        <v>690000</v>
      </c>
      <c r="F76" s="40">
        <f>SUMIF('cth gEDUNG'!$B$188:$B$202,A76,'cth gEDUNG'!$F$188:$F$202)</f>
        <v>50000</v>
      </c>
      <c r="G76" s="40">
        <f>SUMIF('cth gEDUNG'!$B$209:$B$224,A76,'cth gEDUNG'!$F$209:$F$224)</f>
        <v>0</v>
      </c>
      <c r="H76" s="40">
        <f>SUMIF('cth gEDUNG'!$B$231:$B$249,A76,'cth gEDUNG'!$F$231:$F$249)</f>
        <v>200000</v>
      </c>
      <c r="I76" s="40">
        <f>SUMIF('cth gEDUNG'!$B$256:$B$276,A76,'cth gEDUNG'!$F$256:$F$276)</f>
        <v>148100</v>
      </c>
      <c r="J76" s="41">
        <f t="shared" si="20"/>
        <v>1721100</v>
      </c>
    </row>
    <row r="77" spans="1:11" x14ac:dyDescent="0.25">
      <c r="A77" s="98"/>
      <c r="B77" s="98"/>
      <c r="C77" s="98"/>
      <c r="D77" s="98"/>
      <c r="E77" s="98"/>
      <c r="F77" s="98"/>
      <c r="G77" s="98"/>
      <c r="H77" s="98"/>
      <c r="I77" s="98"/>
      <c r="J77" s="56"/>
    </row>
    <row r="78" spans="1:11" s="367" customFormat="1" x14ac:dyDescent="0.25">
      <c r="A78" s="34">
        <v>5200</v>
      </c>
      <c r="B78" s="34" t="s">
        <v>438</v>
      </c>
      <c r="C78" s="377">
        <f>SUM(C79:C80)</f>
        <v>0</v>
      </c>
      <c r="D78" s="377">
        <f t="shared" ref="D78:J78" si="21">SUM(D79:D80)</f>
        <v>0</v>
      </c>
      <c r="E78" s="377">
        <f t="shared" si="21"/>
        <v>0</v>
      </c>
      <c r="F78" s="377">
        <f t="shared" si="21"/>
        <v>0</v>
      </c>
      <c r="G78" s="377">
        <f t="shared" si="21"/>
        <v>0</v>
      </c>
      <c r="H78" s="377">
        <f t="shared" si="21"/>
        <v>0</v>
      </c>
      <c r="I78" s="377">
        <f t="shared" si="21"/>
        <v>0</v>
      </c>
      <c r="J78" s="377">
        <f t="shared" si="21"/>
        <v>0</v>
      </c>
    </row>
    <row r="79" spans="1:11" x14ac:dyDescent="0.25">
      <c r="A79" s="98">
        <v>5201</v>
      </c>
      <c r="B79" s="330" t="s">
        <v>439</v>
      </c>
      <c r="C79" s="341">
        <f>J34</f>
        <v>0</v>
      </c>
      <c r="D79" s="40">
        <f>SUMIF('cth gEDUNG'!$B$142:$B$158,A79,'cth gEDUNG'!$F$142:$F$158)</f>
        <v>0</v>
      </c>
      <c r="E79" s="40">
        <f>SUMIF('cth gEDUNG'!$B$165:$B$181,A79,'cth gEDUNG'!$F$165:$F$181)</f>
        <v>0</v>
      </c>
      <c r="F79" s="40">
        <f>SUMIF('cth gEDUNG'!$B$188:$B$202,A79,'cth gEDUNG'!$F$188:$F$202)</f>
        <v>0</v>
      </c>
      <c r="G79" s="40">
        <f>SUMIF('cth gEDUNG'!$B$209:$B$224,A79,'cth gEDUNG'!$F$209:$F$224)</f>
        <v>0</v>
      </c>
      <c r="H79" s="40">
        <f>SUMIF('cth gEDUNG'!$B$231:$B$249,A79,'cth gEDUNG'!$F$231:$F$249)</f>
        <v>0</v>
      </c>
      <c r="I79" s="40">
        <f>SUMIF('cth gEDUNG'!$B$256:$B$276,A79,'cth gEDUNG'!$F$256:$F$276)</f>
        <v>0</v>
      </c>
      <c r="J79" s="41">
        <f>SUM(C79:I79)</f>
        <v>0</v>
      </c>
    </row>
    <row r="80" spans="1:11" x14ac:dyDescent="0.25">
      <c r="A80" s="98">
        <v>5202</v>
      </c>
      <c r="B80" s="98" t="s">
        <v>691</v>
      </c>
      <c r="C80" s="341">
        <f>J35</f>
        <v>0</v>
      </c>
      <c r="D80" s="40"/>
      <c r="E80" s="40"/>
      <c r="F80" s="40"/>
      <c r="G80" s="40"/>
      <c r="H80" s="40"/>
      <c r="I80" s="40"/>
      <c r="J80" s="41">
        <f t="shared" ref="J80:J81" si="22">SUM(C80:I80)</f>
        <v>0</v>
      </c>
    </row>
    <row r="81" spans="1:11" x14ac:dyDescent="0.25">
      <c r="A81" s="98"/>
      <c r="B81" s="278"/>
      <c r="C81" s="278"/>
      <c r="D81" s="40"/>
      <c r="E81" s="98"/>
      <c r="F81" s="98"/>
      <c r="G81" s="98"/>
      <c r="H81" s="98"/>
      <c r="I81" s="98"/>
      <c r="J81" s="41">
        <f t="shared" si="22"/>
        <v>0</v>
      </c>
    </row>
    <row r="82" spans="1:11" x14ac:dyDescent="0.25">
      <c r="A82" s="34">
        <v>3000</v>
      </c>
      <c r="B82" s="253" t="s">
        <v>6</v>
      </c>
      <c r="C82" s="63">
        <f>SUM(C83)</f>
        <v>1500000</v>
      </c>
      <c r="D82" s="63">
        <f t="shared" ref="D82:I82" si="23">SUM(D83)</f>
        <v>0</v>
      </c>
      <c r="E82" s="63">
        <f t="shared" si="23"/>
        <v>0</v>
      </c>
      <c r="F82" s="63">
        <f t="shared" si="23"/>
        <v>0</v>
      </c>
      <c r="G82" s="63">
        <f t="shared" si="23"/>
        <v>0</v>
      </c>
      <c r="H82" s="63">
        <f t="shared" si="23"/>
        <v>0</v>
      </c>
      <c r="I82" s="63">
        <f t="shared" si="23"/>
        <v>0</v>
      </c>
      <c r="J82" s="63">
        <f>SUM(J83)</f>
        <v>1500000</v>
      </c>
    </row>
    <row r="83" spans="1:11" x14ac:dyDescent="0.25">
      <c r="A83" s="98">
        <v>3001</v>
      </c>
      <c r="B83" s="279" t="s">
        <v>437</v>
      </c>
      <c r="C83" s="341">
        <f>J38</f>
        <v>1500000</v>
      </c>
      <c r="D83" s="40">
        <f>SUMIF('cth gEDUNG'!$B$142:$B$158,A83,'cth gEDUNG'!$F$142:$F$158)</f>
        <v>0</v>
      </c>
      <c r="E83" s="40">
        <f>SUMIF('cth gEDUNG'!$B$165:$B$181,A83,'cth gEDUNG'!$F$165:$F$181)</f>
        <v>0</v>
      </c>
      <c r="F83" s="40">
        <f>SUMIF('cth gEDUNG'!$B$188:$B$202,A83,'cth gEDUNG'!$F$188:$F$202)</f>
        <v>0</v>
      </c>
      <c r="G83" s="40">
        <f>SUMIF('cth gEDUNG'!$B$209:$B$224,A83,'cth gEDUNG'!$F$209:$F$224)</f>
        <v>0</v>
      </c>
      <c r="H83" s="40">
        <f>SUMIF('cth gEDUNG'!$B$231:$B$249,A83,'cth gEDUNG'!$F$231:$F$249)</f>
        <v>0</v>
      </c>
      <c r="I83" s="40">
        <f>SUMIF('cth gEDUNG'!$B$256:$B$276,A83,'cth gEDUNG'!$F$256:$F$276)</f>
        <v>0</v>
      </c>
      <c r="J83" s="41">
        <f>SUM(C83:I83)</f>
        <v>1500000</v>
      </c>
    </row>
    <row r="84" spans="1:11" x14ac:dyDescent="0.25">
      <c r="A84" s="98"/>
      <c r="B84" s="42"/>
      <c r="C84" s="42"/>
      <c r="D84" s="40">
        <f>SUMIF('cth gEDUNG'!$B$142:$B$158,A84,'cth gEDUNG'!$F$142:$F$158)</f>
        <v>0</v>
      </c>
      <c r="E84" s="40">
        <f>SUMIF('cth gEDUNG'!$B$165:$B$181,A84,'cth gEDUNG'!$F$165:$F$181)</f>
        <v>0</v>
      </c>
      <c r="F84" s="40">
        <f>SUMIF('cth gEDUNG'!$B$188:$B$202,A84,'cth gEDUNG'!$F$188:$F$202)</f>
        <v>0</v>
      </c>
      <c r="G84" s="40">
        <f>SUMIF('cth gEDUNG'!$B$209:$B$224,A84,'cth gEDUNG'!$F$209:$F$224)</f>
        <v>0</v>
      </c>
      <c r="H84" s="40">
        <f>SUMIF('cth gEDUNG'!$B$231:$B$249,A84,'cth gEDUNG'!$F$231:$F$249)</f>
        <v>0</v>
      </c>
      <c r="I84" s="40">
        <f>SUMIF('cth gEDUNG'!$B$256:$B$276,A84,'cth gEDUNG'!$F$256:$F$276)</f>
        <v>0</v>
      </c>
      <c r="J84" s="56">
        <f t="shared" ref="J84" si="24">SUM(D84:I84)</f>
        <v>0</v>
      </c>
    </row>
    <row r="85" spans="1:11" s="367" customFormat="1" x14ac:dyDescent="0.25">
      <c r="A85" s="372" t="s">
        <v>460</v>
      </c>
      <c r="B85" s="370" t="s">
        <v>461</v>
      </c>
      <c r="C85" s="371">
        <f>J40</f>
        <v>0</v>
      </c>
      <c r="D85" s="368">
        <f>SUMIF('cth gEDUNG'!$B$142:$B$158,A85,'cth gEDUNG'!$F$142:$F$158)</f>
        <v>0</v>
      </c>
      <c r="E85" s="368">
        <f>SUMIF('cth gEDUNG'!$B$165:$B$181,A85,'cth gEDUNG'!$F$165:$F$181)</f>
        <v>0</v>
      </c>
      <c r="F85" s="368">
        <f>SUMIF('cth gEDUNG'!$B$188:$B$202,A85,'cth gEDUNG'!$F$188:$F$202)</f>
        <v>0</v>
      </c>
      <c r="G85" s="368">
        <f>SUMIF('cth gEDUNG'!$B$209:$B$224,A85,'cth gEDUNG'!$F$209:$F$224)</f>
        <v>0</v>
      </c>
      <c r="H85" s="368">
        <f>SUMIF('cth gEDUNG'!$B$231:$B$249,A85,'cth gEDUNG'!$F$231:$F$249)</f>
        <v>0</v>
      </c>
      <c r="I85" s="368">
        <f>SUMIF('cth gEDUNG'!$B$256:$B$276,A85,'cth gEDUNG'!$F$256:$F$276)</f>
        <v>6880000</v>
      </c>
      <c r="J85" s="41">
        <f>SUM(C85:I85)</f>
        <v>6880000</v>
      </c>
    </row>
    <row r="86" spans="1:11" ht="15.75" thickBot="1" x14ac:dyDescent="0.3">
      <c r="A86" s="98"/>
      <c r="B86" s="42"/>
      <c r="C86" s="42"/>
      <c r="D86" s="40"/>
      <c r="E86" s="40"/>
      <c r="F86" s="40"/>
      <c r="G86" s="40"/>
      <c r="H86" s="40"/>
      <c r="I86" s="40"/>
      <c r="J86" s="36"/>
    </row>
    <row r="87" spans="1:11" x14ac:dyDescent="0.25">
      <c r="A87" s="334"/>
      <c r="B87" s="334" t="s">
        <v>5</v>
      </c>
      <c r="C87" s="335">
        <f>C82+C67+C78+C85</f>
        <v>3177000</v>
      </c>
      <c r="D87" s="335">
        <f t="shared" ref="D87:I87" si="25">D82+D67+D78+D85</f>
        <v>355000</v>
      </c>
      <c r="E87" s="335">
        <f t="shared" si="25"/>
        <v>795000</v>
      </c>
      <c r="F87" s="335">
        <f t="shared" si="25"/>
        <v>305000</v>
      </c>
      <c r="G87" s="335">
        <f t="shared" si="25"/>
        <v>160000</v>
      </c>
      <c r="H87" s="335">
        <f t="shared" si="25"/>
        <v>1080000</v>
      </c>
      <c r="I87" s="335">
        <f t="shared" si="25"/>
        <v>23286900</v>
      </c>
      <c r="J87" s="335">
        <f>J82+J67+J78+J85</f>
        <v>29158900</v>
      </c>
    </row>
    <row r="88" spans="1:11" x14ac:dyDescent="0.25">
      <c r="A88" s="336"/>
      <c r="B88" s="336" t="s">
        <v>100</v>
      </c>
      <c r="C88" s="337">
        <f>C65-C87</f>
        <v>11363000</v>
      </c>
      <c r="D88" s="337">
        <f>D65-D87</f>
        <v>2235000</v>
      </c>
      <c r="E88" s="337">
        <f>E65-E87</f>
        <v>805000</v>
      </c>
      <c r="F88" s="337">
        <f>F65-F87</f>
        <v>1135000</v>
      </c>
      <c r="G88" s="337">
        <f>G65-G87</f>
        <v>2000000</v>
      </c>
      <c r="H88" s="337">
        <f>H65-H87</f>
        <v>2810000</v>
      </c>
      <c r="I88" s="337">
        <f>I65-I87</f>
        <v>-18056900</v>
      </c>
      <c r="J88" s="337">
        <f>J65-J87</f>
        <v>2291100</v>
      </c>
    </row>
    <row r="89" spans="1:11" s="333" customFormat="1" x14ac:dyDescent="0.25">
      <c r="A89" s="331"/>
      <c r="B89" s="331"/>
      <c r="C89" s="331"/>
      <c r="D89" s="332"/>
      <c r="E89" s="332"/>
      <c r="F89" s="332"/>
      <c r="G89" s="332"/>
      <c r="H89" s="332"/>
      <c r="I89" s="332"/>
      <c r="J89" s="332"/>
    </row>
    <row r="90" spans="1:11" s="333" customFormat="1" x14ac:dyDescent="0.25">
      <c r="A90" s="331"/>
      <c r="B90" s="331"/>
      <c r="C90" s="331"/>
      <c r="D90" s="332"/>
      <c r="E90" s="332"/>
      <c r="F90" s="332"/>
      <c r="G90" s="332"/>
      <c r="H90" s="332"/>
      <c r="I90" s="332"/>
      <c r="J90" s="332"/>
    </row>
    <row r="91" spans="1:11" s="333" customFormat="1" x14ac:dyDescent="0.25">
      <c r="A91" s="331"/>
      <c r="B91" s="331"/>
      <c r="C91" s="331"/>
      <c r="D91" s="332"/>
      <c r="E91" s="332"/>
      <c r="F91" s="332"/>
      <c r="G91" s="332"/>
      <c r="H91" s="332"/>
      <c r="I91" s="332"/>
      <c r="J91" s="332"/>
    </row>
    <row r="92" spans="1:11" s="333" customFormat="1" x14ac:dyDescent="0.25">
      <c r="A92" s="331"/>
      <c r="B92" s="331"/>
      <c r="C92" s="331"/>
      <c r="D92" s="332"/>
      <c r="E92" s="332"/>
      <c r="F92" s="332"/>
      <c r="G92" s="332"/>
      <c r="H92" s="332"/>
      <c r="I92" s="332"/>
      <c r="J92" s="332"/>
    </row>
    <row r="93" spans="1:11" s="333" customFormat="1" x14ac:dyDescent="0.25">
      <c r="A93" s="331"/>
      <c r="B93" s="331"/>
      <c r="C93" s="331"/>
      <c r="D93" s="332"/>
      <c r="E93" s="332"/>
      <c r="F93" s="332"/>
      <c r="G93" s="332"/>
      <c r="H93" s="332"/>
      <c r="I93" s="332"/>
      <c r="J93" s="332"/>
    </row>
    <row r="94" spans="1:11" s="333" customFormat="1" x14ac:dyDescent="0.25">
      <c r="A94" s="331"/>
      <c r="B94" s="331"/>
      <c r="C94" s="331"/>
      <c r="D94" s="332"/>
      <c r="E94" s="332"/>
      <c r="F94" s="332"/>
      <c r="G94" s="332"/>
      <c r="H94" s="332"/>
      <c r="I94" s="332"/>
      <c r="J94" s="332"/>
    </row>
    <row r="95" spans="1:11" s="333" customFormat="1" x14ac:dyDescent="0.25">
      <c r="A95" s="356"/>
      <c r="B95" s="357"/>
      <c r="C95" s="357"/>
      <c r="D95" s="358"/>
      <c r="E95" s="359"/>
      <c r="F95" s="332"/>
      <c r="G95" s="332"/>
      <c r="H95" s="332"/>
      <c r="I95" s="332"/>
      <c r="J95" s="332"/>
    </row>
    <row r="96" spans="1:11" x14ac:dyDescent="0.25">
      <c r="A96" s="285"/>
      <c r="B96" s="380" t="s">
        <v>780</v>
      </c>
      <c r="C96" s="286"/>
      <c r="D96" s="251">
        <v>5457800</v>
      </c>
      <c r="E96" s="360"/>
      <c r="F96" s="286"/>
      <c r="G96" s="286"/>
      <c r="H96" s="286"/>
      <c r="I96" s="286"/>
      <c r="J96" s="354"/>
      <c r="K96" s="286"/>
    </row>
    <row r="97" spans="1:11" x14ac:dyDescent="0.25">
      <c r="A97" s="285"/>
      <c r="B97" s="344" t="s">
        <v>90</v>
      </c>
      <c r="C97" s="286"/>
      <c r="D97" s="346">
        <f>J56</f>
        <v>29950000</v>
      </c>
      <c r="E97" s="360"/>
      <c r="F97" s="286"/>
      <c r="G97" s="286"/>
      <c r="H97" s="286"/>
      <c r="I97" s="286"/>
      <c r="J97" s="354"/>
      <c r="K97" s="286"/>
    </row>
    <row r="98" spans="1:11" x14ac:dyDescent="0.25">
      <c r="A98" s="285"/>
      <c r="B98" s="344" t="s">
        <v>447</v>
      </c>
      <c r="C98" s="286"/>
      <c r="D98" s="346">
        <f>J61</f>
        <v>1500000</v>
      </c>
      <c r="E98" s="383"/>
      <c r="F98" s="286"/>
      <c r="G98" s="286"/>
      <c r="H98" s="286"/>
      <c r="I98" s="286"/>
      <c r="J98" s="354"/>
      <c r="K98" s="286"/>
    </row>
    <row r="99" spans="1:11" ht="15.75" thickBot="1" x14ac:dyDescent="0.3">
      <c r="A99" s="285"/>
      <c r="B99" s="347" t="s">
        <v>93</v>
      </c>
      <c r="C99" s="348"/>
      <c r="D99" s="349">
        <f>SUM(D96:D98)</f>
        <v>36907800</v>
      </c>
      <c r="E99" s="383"/>
      <c r="F99" s="286"/>
      <c r="G99" s="286"/>
      <c r="H99" s="286"/>
      <c r="I99" s="286"/>
      <c r="J99" s="354"/>
      <c r="K99" s="286"/>
    </row>
    <row r="100" spans="1:11" ht="15.75" thickTop="1" x14ac:dyDescent="0.25">
      <c r="A100" s="285"/>
      <c r="B100" s="286"/>
      <c r="C100" s="286"/>
      <c r="D100" s="286"/>
      <c r="E100" s="360"/>
      <c r="F100" s="286"/>
      <c r="G100" s="286"/>
      <c r="H100" s="286"/>
      <c r="I100" s="286"/>
      <c r="J100" s="354"/>
      <c r="K100" s="286"/>
    </row>
    <row r="101" spans="1:11" x14ac:dyDescent="0.25">
      <c r="A101" s="285"/>
      <c r="B101" s="363" t="s">
        <v>448</v>
      </c>
      <c r="C101" s="286"/>
      <c r="D101" s="286"/>
      <c r="E101" s="360"/>
      <c r="F101" s="286"/>
      <c r="G101" s="286"/>
      <c r="H101" s="286"/>
      <c r="I101" s="286"/>
      <c r="J101" s="354"/>
      <c r="K101" s="286"/>
    </row>
    <row r="102" spans="1:11" x14ac:dyDescent="0.25">
      <c r="A102" s="285"/>
      <c r="B102" s="286"/>
      <c r="C102" s="286"/>
      <c r="D102" s="286"/>
      <c r="E102" s="360"/>
      <c r="F102" s="286"/>
      <c r="G102" s="286"/>
      <c r="H102" s="286"/>
      <c r="I102" s="286"/>
      <c r="J102" s="354"/>
      <c r="K102" s="286"/>
    </row>
    <row r="103" spans="1:11" x14ac:dyDescent="0.25">
      <c r="A103" s="285"/>
      <c r="B103" s="373" t="s">
        <v>449</v>
      </c>
      <c r="C103" s="286"/>
      <c r="D103" s="351">
        <f>J67</f>
        <v>20778900</v>
      </c>
      <c r="E103" s="360"/>
      <c r="F103" s="286"/>
      <c r="G103" s="286"/>
      <c r="H103" s="286"/>
      <c r="I103" s="286"/>
      <c r="J103" s="354"/>
      <c r="K103" s="286"/>
    </row>
    <row r="104" spans="1:11" x14ac:dyDescent="0.25">
      <c r="A104" s="285"/>
      <c r="B104" s="374" t="s">
        <v>450</v>
      </c>
      <c r="C104" s="290"/>
      <c r="D104" s="345">
        <f>J78</f>
        <v>0</v>
      </c>
      <c r="E104" s="361"/>
      <c r="F104" s="286"/>
      <c r="G104" s="286"/>
      <c r="H104" s="286"/>
      <c r="I104" s="286"/>
      <c r="J104" s="354"/>
      <c r="K104" s="286"/>
    </row>
    <row r="105" spans="1:11" x14ac:dyDescent="0.25">
      <c r="A105" s="285"/>
      <c r="B105" s="375" t="s">
        <v>451</v>
      </c>
      <c r="C105" s="286"/>
      <c r="D105" s="345">
        <f>J82</f>
        <v>1500000</v>
      </c>
      <c r="E105" s="360"/>
      <c r="F105" s="286"/>
      <c r="G105" s="286"/>
      <c r="H105" s="286"/>
      <c r="I105" s="286"/>
      <c r="J105" s="354"/>
      <c r="K105" s="286"/>
    </row>
    <row r="106" spans="1:11" x14ac:dyDescent="0.25">
      <c r="A106" s="285"/>
      <c r="B106" s="376" t="s">
        <v>463</v>
      </c>
      <c r="C106" s="286"/>
      <c r="D106" s="345">
        <f>J85</f>
        <v>6880000</v>
      </c>
      <c r="E106" s="360"/>
      <c r="F106" s="286"/>
      <c r="G106" s="286"/>
      <c r="H106" s="286"/>
      <c r="I106" s="286"/>
      <c r="J106" s="354"/>
      <c r="K106" s="286"/>
    </row>
    <row r="107" spans="1:11" ht="15.75" thickBot="1" x14ac:dyDescent="0.3">
      <c r="A107" s="285"/>
      <c r="B107" s="347" t="s">
        <v>93</v>
      </c>
      <c r="C107" s="348"/>
      <c r="D107" s="352">
        <f>SUM(D103:D106)</f>
        <v>29158900</v>
      </c>
      <c r="E107" s="383"/>
      <c r="F107" s="286"/>
      <c r="G107" s="286"/>
      <c r="H107" s="286"/>
      <c r="I107" s="286"/>
      <c r="J107" s="354"/>
      <c r="K107" s="286"/>
    </row>
    <row r="108" spans="1:11" ht="15.75" thickTop="1" x14ac:dyDescent="0.25">
      <c r="A108" s="285"/>
      <c r="B108" s="286"/>
      <c r="C108" s="286"/>
      <c r="D108" s="286"/>
      <c r="E108" s="360"/>
      <c r="F108" s="286"/>
      <c r="G108" s="286"/>
      <c r="H108" s="286"/>
      <c r="I108" s="286"/>
      <c r="J108" s="354"/>
      <c r="K108" s="286"/>
    </row>
    <row r="109" spans="1:11" ht="15.75" thickBot="1" x14ac:dyDescent="0.3">
      <c r="A109" s="285"/>
      <c r="B109" s="347" t="s">
        <v>452</v>
      </c>
      <c r="C109" s="348"/>
      <c r="D109" s="353">
        <f>D99-D107</f>
        <v>7748900</v>
      </c>
      <c r="E109" s="411"/>
      <c r="F109" s="286"/>
      <c r="G109" s="286"/>
      <c r="H109" s="286"/>
      <c r="I109" s="286"/>
      <c r="J109" s="354"/>
      <c r="K109" s="286"/>
    </row>
    <row r="110" spans="1:11" ht="15.75" thickTop="1" x14ac:dyDescent="0.25">
      <c r="A110" s="285"/>
      <c r="B110" s="286"/>
      <c r="C110" s="286"/>
      <c r="D110" s="556"/>
      <c r="E110" s="383"/>
      <c r="F110" s="286"/>
      <c r="G110" s="286"/>
      <c r="H110" s="286"/>
      <c r="I110" s="286"/>
      <c r="J110" s="354"/>
      <c r="K110" s="286"/>
    </row>
    <row r="111" spans="1:11" x14ac:dyDescent="0.25">
      <c r="A111" s="285"/>
      <c r="B111" s="286"/>
      <c r="C111" s="286" t="s">
        <v>826</v>
      </c>
      <c r="D111" s="345"/>
      <c r="E111" s="383"/>
      <c r="F111" s="286"/>
      <c r="G111" s="286"/>
      <c r="H111" s="286"/>
      <c r="I111" s="286"/>
      <c r="J111" s="354"/>
      <c r="K111" s="286"/>
    </row>
    <row r="112" spans="1:11" x14ac:dyDescent="0.25">
      <c r="A112" s="285"/>
      <c r="B112" s="347" t="s">
        <v>127</v>
      </c>
      <c r="C112" s="344" t="s">
        <v>453</v>
      </c>
      <c r="D112" s="286"/>
      <c r="E112" s="360"/>
      <c r="F112" s="286"/>
      <c r="G112" s="286"/>
      <c r="H112" s="286"/>
      <c r="I112" s="286"/>
      <c r="J112" s="354"/>
      <c r="K112" s="286"/>
    </row>
    <row r="113" spans="1:11" x14ac:dyDescent="0.25">
      <c r="A113" s="285"/>
      <c r="B113" s="350"/>
      <c r="C113" s="380" t="s">
        <v>508</v>
      </c>
      <c r="D113" s="286"/>
      <c r="E113" s="360"/>
      <c r="F113" s="286"/>
      <c r="G113" s="286"/>
      <c r="H113" s="286"/>
      <c r="I113" s="286"/>
      <c r="J113" s="354"/>
      <c r="K113" s="286"/>
    </row>
    <row r="114" spans="1:11" x14ac:dyDescent="0.25">
      <c r="A114" s="285"/>
      <c r="B114" s="286"/>
      <c r="C114" s="286"/>
      <c r="D114" s="286"/>
      <c r="E114" s="360"/>
      <c r="F114" s="286"/>
      <c r="G114" s="286"/>
      <c r="H114" s="286"/>
      <c r="I114" s="286"/>
      <c r="J114" s="354"/>
      <c r="K114" s="286"/>
    </row>
    <row r="115" spans="1:11" x14ac:dyDescent="0.25">
      <c r="A115" s="285"/>
      <c r="B115" s="290"/>
      <c r="C115" s="290"/>
      <c r="D115" s="290"/>
      <c r="E115" s="360"/>
      <c r="F115" s="286"/>
      <c r="G115" s="286"/>
      <c r="H115" s="286"/>
      <c r="I115" s="286"/>
      <c r="J115" s="354"/>
      <c r="K115" s="286"/>
    </row>
    <row r="116" spans="1:11" s="286" customFormat="1" x14ac:dyDescent="0.25">
      <c r="A116" s="285"/>
      <c r="E116" s="360"/>
      <c r="J116" s="354"/>
    </row>
    <row r="117" spans="1:11" s="286" customFormat="1" x14ac:dyDescent="0.25">
      <c r="A117" s="285"/>
      <c r="B117" s="539" t="str">
        <f>NERACA!I39</f>
        <v>DODIK SUSANTO, S.Fil.I</v>
      </c>
      <c r="C117" s="290" t="s">
        <v>705</v>
      </c>
      <c r="E117" s="360"/>
      <c r="J117" s="354"/>
    </row>
    <row r="118" spans="1:11" x14ac:dyDescent="0.25">
      <c r="A118" s="285"/>
      <c r="B118" s="418" t="str">
        <f>tabungan!C179</f>
        <v>Direktur BUMDES</v>
      </c>
      <c r="C118" s="286"/>
      <c r="D118" s="286"/>
      <c r="E118" s="360"/>
    </row>
    <row r="119" spans="1:11" x14ac:dyDescent="0.25">
      <c r="A119" s="285"/>
      <c r="B119" s="286"/>
      <c r="C119" s="286"/>
      <c r="D119" s="286"/>
      <c r="E119" s="360"/>
    </row>
    <row r="120" spans="1:11" x14ac:dyDescent="0.25">
      <c r="A120" s="291"/>
      <c r="B120" s="292"/>
      <c r="C120" s="292"/>
      <c r="D120" s="292"/>
      <c r="E120" s="362"/>
    </row>
  </sheetData>
  <mergeCells count="8">
    <mergeCell ref="A51:A52"/>
    <mergeCell ref="B51:B52"/>
    <mergeCell ref="D51:I51"/>
    <mergeCell ref="J51:J52"/>
    <mergeCell ref="A7:A8"/>
    <mergeCell ref="B7:B8"/>
    <mergeCell ref="J7:J8"/>
    <mergeCell ref="D7:I7"/>
  </mergeCells>
  <pageMargins left="0.70866141732283472" right="0.70866141732283472" top="0.74803149606299213" bottom="0.74803149606299213" header="0.31496062992125984" footer="0.31496062992125984"/>
  <pageSetup paperSize="9" scale="70" orientation="landscape" horizontalDpi="4294967293" r:id="rId1"/>
  <rowBreaks count="2" manualBreakCount="2">
    <brk id="44" max="16383" man="1"/>
    <brk id="90" max="9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M129"/>
  <sheetViews>
    <sheetView topLeftCell="F88" zoomScale="166" zoomScaleNormal="166" zoomScaleSheetLayoutView="136" workbookViewId="0">
      <selection activeCell="E115" sqref="E115"/>
    </sheetView>
  </sheetViews>
  <sheetFormatPr defaultColWidth="9" defaultRowHeight="15" x14ac:dyDescent="0.25"/>
  <cols>
    <col min="3" max="3" width="47.28515625" customWidth="1"/>
    <col min="4" max="4" width="16.28515625" style="369" customWidth="1"/>
    <col min="5" max="5" width="15.42578125" bestFit="1" customWidth="1"/>
    <col min="6" max="6" width="15.28515625" bestFit="1" customWidth="1"/>
    <col min="7" max="7" width="15" bestFit="1" customWidth="1"/>
    <col min="8" max="8" width="15.5703125" bestFit="1" customWidth="1"/>
    <col min="9" max="9" width="15" bestFit="1" customWidth="1"/>
    <col min="10" max="10" width="15.42578125" bestFit="1" customWidth="1"/>
    <col min="11" max="11" width="20.140625" style="28" customWidth="1"/>
    <col min="12" max="12" width="15.28515625" customWidth="1"/>
    <col min="13" max="13" width="20" customWidth="1"/>
    <col min="14" max="260" width="10" customWidth="1"/>
    <col min="261" max="261" width="9" customWidth="1"/>
  </cols>
  <sheetData>
    <row r="1" spans="2:12" ht="19.5" x14ac:dyDescent="0.3">
      <c r="B1" s="29" t="s">
        <v>355</v>
      </c>
    </row>
    <row r="2" spans="2:12" ht="18.75" x14ac:dyDescent="0.3">
      <c r="B2" s="26" t="s">
        <v>356</v>
      </c>
    </row>
    <row r="3" spans="2:12" x14ac:dyDescent="0.25">
      <c r="B3" s="30" t="s">
        <v>548</v>
      </c>
    </row>
    <row r="4" spans="2:12" x14ac:dyDescent="0.25">
      <c r="B4" s="267"/>
    </row>
    <row r="5" spans="2:12" x14ac:dyDescent="0.25">
      <c r="B5" s="267"/>
    </row>
    <row r="6" spans="2:12" x14ac:dyDescent="0.25">
      <c r="B6" s="267"/>
    </row>
    <row r="7" spans="2:12" s="31" customFormat="1" x14ac:dyDescent="0.25">
      <c r="B7" s="856" t="s">
        <v>9</v>
      </c>
      <c r="C7" s="856" t="s">
        <v>20</v>
      </c>
      <c r="D7" s="433"/>
      <c r="E7" s="857">
        <v>2025</v>
      </c>
      <c r="F7" s="858"/>
      <c r="G7" s="858"/>
      <c r="H7" s="858"/>
      <c r="I7" s="858"/>
      <c r="J7" s="859"/>
      <c r="K7" s="860" t="s">
        <v>93</v>
      </c>
    </row>
    <row r="8" spans="2:12" s="31" customFormat="1" x14ac:dyDescent="0.25">
      <c r="B8" s="856"/>
      <c r="C8" s="856"/>
      <c r="D8" s="434"/>
      <c r="E8" s="32" t="s">
        <v>424</v>
      </c>
      <c r="F8" s="343" t="s">
        <v>425</v>
      </c>
      <c r="G8" s="32" t="s">
        <v>426</v>
      </c>
      <c r="H8" s="343" t="s">
        <v>429</v>
      </c>
      <c r="I8" s="32" t="s">
        <v>16</v>
      </c>
      <c r="J8" s="32" t="s">
        <v>17</v>
      </c>
      <c r="K8" s="860"/>
    </row>
    <row r="9" spans="2:12" x14ac:dyDescent="0.25">
      <c r="B9" s="365"/>
      <c r="C9" s="365"/>
      <c r="D9" s="414"/>
      <c r="E9" s="3"/>
      <c r="F9" s="3"/>
      <c r="G9" s="3"/>
      <c r="H9" s="3"/>
      <c r="I9" s="3"/>
      <c r="J9" s="3"/>
      <c r="K9" s="33"/>
    </row>
    <row r="10" spans="2:12" s="30" customFormat="1" x14ac:dyDescent="0.25">
      <c r="B10" s="34">
        <v>1000</v>
      </c>
      <c r="C10" s="34" t="s">
        <v>82</v>
      </c>
      <c r="D10" s="435"/>
      <c r="E10" s="35"/>
      <c r="F10" s="35"/>
      <c r="G10" s="35"/>
      <c r="H10" s="35"/>
      <c r="I10" s="35"/>
      <c r="J10" s="35"/>
      <c r="K10" s="36">
        <f>SUM(E10:G10)</f>
        <v>0</v>
      </c>
    </row>
    <row r="11" spans="2:12" s="30" customFormat="1" x14ac:dyDescent="0.25">
      <c r="B11" s="34">
        <v>1002</v>
      </c>
      <c r="C11" s="34" t="s">
        <v>910</v>
      </c>
      <c r="D11" s="435"/>
      <c r="E11" s="35"/>
      <c r="F11" s="35"/>
      <c r="G11" s="35"/>
      <c r="H11" s="35"/>
      <c r="I11" s="35"/>
      <c r="J11" s="35"/>
      <c r="K11" s="36"/>
    </row>
    <row r="12" spans="2:12" s="30" customFormat="1" x14ac:dyDescent="0.25">
      <c r="B12" s="34"/>
      <c r="C12" s="34"/>
      <c r="D12" s="435"/>
      <c r="E12" s="35"/>
      <c r="F12" s="35"/>
      <c r="G12" s="35"/>
      <c r="H12" s="35"/>
      <c r="I12" s="35"/>
      <c r="J12" s="35"/>
      <c r="K12" s="36"/>
    </row>
    <row r="13" spans="2:12" s="30" customFormat="1" x14ac:dyDescent="0.25">
      <c r="B13" s="34">
        <v>2000</v>
      </c>
      <c r="C13" s="34" t="s">
        <v>90</v>
      </c>
      <c r="D13" s="368">
        <f t="shared" ref="D13:K13" si="0">SUM(D14:D16)</f>
        <v>0</v>
      </c>
      <c r="E13" s="35">
        <f>SUM(E14:E16)</f>
        <v>0</v>
      </c>
      <c r="F13" s="35">
        <f t="shared" si="0"/>
        <v>0</v>
      </c>
      <c r="G13" s="35">
        <f t="shared" si="0"/>
        <v>0</v>
      </c>
      <c r="H13" s="35">
        <f t="shared" si="0"/>
        <v>0</v>
      </c>
      <c r="I13" s="35">
        <f t="shared" si="0"/>
        <v>0</v>
      </c>
      <c r="J13" s="35">
        <f t="shared" si="0"/>
        <v>0</v>
      </c>
      <c r="K13" s="35">
        <f t="shared" si="0"/>
        <v>0</v>
      </c>
    </row>
    <row r="14" spans="2:12" s="37" customFormat="1" x14ac:dyDescent="0.25">
      <c r="B14" s="38">
        <v>2001</v>
      </c>
      <c r="C14" s="39" t="s">
        <v>710</v>
      </c>
      <c r="D14" s="39"/>
      <c r="E14" s="40">
        <f>SUMIF('CTH BUMDES'!$B$7:$B$8,B14,'CTH BUMDES'!$F$7:$F$8)</f>
        <v>0</v>
      </c>
      <c r="F14" s="40">
        <f>SUMIF('CTH BUMDES'!$B$15:$B$16,B14,'CTH BUMDES'!$F$15:$F$16)</f>
        <v>0</v>
      </c>
      <c r="G14" s="40">
        <f>SUMIF('CTH BUMDES'!$B$23:$B$24,B14,'CTH BUMDES'!$F$23:$F$24)</f>
        <v>0</v>
      </c>
      <c r="H14" s="40">
        <f>SUMIF('CTH BUMDES'!$B$31:$B$32,B14,'CTH BUMDES'!$F$31:$F$32)</f>
        <v>0</v>
      </c>
      <c r="I14" s="40">
        <f>SUMIF('CTH BUMDES'!$B$40:$B$42,B14,'CTH BUMDES'!$F$40:$F$42)</f>
        <v>0</v>
      </c>
      <c r="J14" s="40">
        <f>SUMIF('CTH BUMDES'!$B$50:$B$52,B14,'CTH BUMDES'!$F$50:$F$52)</f>
        <v>0</v>
      </c>
      <c r="K14" s="41">
        <f>SUM(D14:J14)</f>
        <v>0</v>
      </c>
    </row>
    <row r="15" spans="2:12" s="37" customFormat="1" x14ac:dyDescent="0.25">
      <c r="B15" s="98">
        <v>2002</v>
      </c>
      <c r="C15" s="42" t="s">
        <v>537</v>
      </c>
      <c r="D15" s="39"/>
      <c r="E15" s="40">
        <f>SUMIF('CTH BUMDES'!$B$7:$B$8,B15,'CTH BUMDES'!$F$7:$F$8)</f>
        <v>0</v>
      </c>
      <c r="F15" s="40">
        <f>SUMIF('CTH BUMDES'!$B$15:$B$16,B15,'CTH BUMDES'!$F$15:$F$16)</f>
        <v>0</v>
      </c>
      <c r="G15" s="40">
        <f>SUMIF('CTH BUMDES'!$B$23:$B$24,B15,'CTH BUMDES'!$F$23:$F$24)</f>
        <v>0</v>
      </c>
      <c r="H15" s="40">
        <f>SUMIF('CTH BUMDES'!$B$31:$B$32,B15,'CTH BUMDES'!$F$31:$F$32)</f>
        <v>0</v>
      </c>
      <c r="I15" s="40">
        <f>SUMIF('CTH BUMDES'!$B$40:$B$42,B15,'CTH BUMDES'!$F$40:$F$42)</f>
        <v>0</v>
      </c>
      <c r="J15" s="40">
        <f>SUMIF('CTH BUMDES'!$B$50:$B$52,B15,'CTH BUMDES'!$F$50:$F$52)</f>
        <v>0</v>
      </c>
      <c r="K15" s="41">
        <f>SUM(D15:J15)</f>
        <v>0</v>
      </c>
    </row>
    <row r="16" spans="2:12" x14ac:dyDescent="0.25">
      <c r="B16" s="98">
        <v>2003</v>
      </c>
      <c r="C16" s="42" t="s">
        <v>671</v>
      </c>
      <c r="D16" s="39"/>
      <c r="E16" s="40">
        <f>SUMIF('CTH BUMDES'!$B$7:$B$8,B16,'CTH BUMDES'!$F$7:$F$8)</f>
        <v>0</v>
      </c>
      <c r="F16" s="40">
        <f>SUMIF('CTH BUMDES'!$B$15:$B$16,B16,'CTH BUMDES'!$F$15:$F$16)</f>
        <v>0</v>
      </c>
      <c r="G16" s="40">
        <f>SUMIF('CTH BUMDES'!$B$23:$B$24,B16,'CTH BUMDES'!$F$23:$F$24)</f>
        <v>0</v>
      </c>
      <c r="H16" s="40">
        <f>SUMIF('CTH BUMDES'!$B$31:$B$32,B16,'CTH BUMDES'!$F$31:$F$32)</f>
        <v>0</v>
      </c>
      <c r="I16" s="40">
        <f>SUMIF('CTH BUMDES'!$B$40:$B$42,B16,'CTH BUMDES'!$F$40:$F$42)</f>
        <v>0</v>
      </c>
      <c r="J16" s="40">
        <f>SUMIF('CTH BUMDES'!$B$50:$B$52,B16,'CTH BUMDES'!$F$50:$F$52)</f>
        <v>0</v>
      </c>
      <c r="K16" s="41">
        <f>SUM(D16:J16)</f>
        <v>0</v>
      </c>
      <c r="L16" s="43"/>
    </row>
    <row r="17" spans="2:12" x14ac:dyDescent="0.25">
      <c r="B17" s="98">
        <v>2004</v>
      </c>
      <c r="C17" s="42" t="s">
        <v>877</v>
      </c>
      <c r="D17" s="39"/>
      <c r="E17" s="40">
        <f>SUMIF('CTH BUMDES'!$B$7:$B$8,B17,'CTH BUMDES'!$F$7:$F$8)</f>
        <v>0</v>
      </c>
      <c r="F17" s="40">
        <f>SUMIF('CTH BUMDES'!$B$15:$B$16,B17,'CTH BUMDES'!$F$15:$F$16)</f>
        <v>0</v>
      </c>
      <c r="G17" s="40">
        <f>SUMIF('CTH BUMDES'!$B$23:$B$24,B17,'CTH BUMDES'!$F$23:$F$24)</f>
        <v>0</v>
      </c>
      <c r="H17" s="40">
        <f>SUMIF('CTH BUMDES'!$B$31:$B$32,B17,'CTH BUMDES'!$F$31:$F$32)</f>
        <v>0</v>
      </c>
      <c r="I17" s="40">
        <f>SUMIF('CTH BUMDES'!$B$40:$B$42,B17,'CTH BUMDES'!$F$40:$F$42)</f>
        <v>0</v>
      </c>
      <c r="J17" s="40">
        <f>SUMIF('CTH BUMDES'!$B$50:$B$52,B17,'CTH BUMDES'!$F$50:$F$52)</f>
        <v>0</v>
      </c>
      <c r="K17" s="41"/>
      <c r="L17" s="43"/>
    </row>
    <row r="18" spans="2:12" x14ac:dyDescent="0.25">
      <c r="B18" s="98"/>
      <c r="C18" s="57"/>
      <c r="D18" s="436"/>
      <c r="E18" s="44"/>
      <c r="F18" s="44"/>
      <c r="G18" s="44"/>
      <c r="H18" s="44"/>
      <c r="I18" s="44"/>
      <c r="J18" s="44"/>
      <c r="K18" s="36"/>
    </row>
    <row r="19" spans="2:12" s="30" customFormat="1" x14ac:dyDescent="0.25">
      <c r="B19" s="49"/>
      <c r="C19" s="58" t="s">
        <v>102</v>
      </c>
      <c r="D19" s="50">
        <f t="shared" ref="D19:J19" si="1">D10+D13</f>
        <v>0</v>
      </c>
      <c r="E19" s="59">
        <f t="shared" si="1"/>
        <v>0</v>
      </c>
      <c r="F19" s="59">
        <f t="shared" si="1"/>
        <v>0</v>
      </c>
      <c r="G19" s="59">
        <f t="shared" si="1"/>
        <v>0</v>
      </c>
      <c r="H19" s="59">
        <f t="shared" si="1"/>
        <v>0</v>
      </c>
      <c r="I19" s="59">
        <f t="shared" si="1"/>
        <v>0</v>
      </c>
      <c r="J19" s="59">
        <f t="shared" si="1"/>
        <v>0</v>
      </c>
      <c r="K19" s="59">
        <f>K10+K13</f>
        <v>0</v>
      </c>
    </row>
    <row r="20" spans="2:12" x14ac:dyDescent="0.25">
      <c r="B20" s="98"/>
      <c r="C20" s="98"/>
      <c r="D20" s="38"/>
      <c r="E20" s="44"/>
      <c r="F20" s="98"/>
      <c r="G20" s="98"/>
      <c r="H20" s="98"/>
      <c r="I20" s="98"/>
      <c r="J20" s="98"/>
      <c r="K20" s="56">
        <f>SUM(E20:G20)</f>
        <v>0</v>
      </c>
    </row>
    <row r="21" spans="2:12" x14ac:dyDescent="0.25">
      <c r="B21" s="61">
        <v>5000</v>
      </c>
      <c r="C21" s="61" t="s">
        <v>85</v>
      </c>
      <c r="D21" s="437"/>
      <c r="E21" s="60">
        <f>E22</f>
        <v>0</v>
      </c>
      <c r="F21" s="60">
        <f t="shared" ref="F21:K21" si="2">F22</f>
        <v>0</v>
      </c>
      <c r="G21" s="60">
        <f>G22</f>
        <v>0</v>
      </c>
      <c r="H21" s="60">
        <f t="shared" si="2"/>
        <v>0</v>
      </c>
      <c r="I21" s="60">
        <f t="shared" si="2"/>
        <v>600000</v>
      </c>
      <c r="J21" s="60">
        <f t="shared" si="2"/>
        <v>0</v>
      </c>
      <c r="K21" s="60">
        <f t="shared" si="2"/>
        <v>600000</v>
      </c>
    </row>
    <row r="22" spans="2:12" x14ac:dyDescent="0.25">
      <c r="B22" s="98">
        <v>5100</v>
      </c>
      <c r="C22" s="34" t="s">
        <v>94</v>
      </c>
      <c r="D22" s="435"/>
      <c r="E22" s="63">
        <f>SUM(E23:E32)</f>
        <v>0</v>
      </c>
      <c r="F22" s="63">
        <f t="shared" ref="F22:K22" si="3">SUM(F23:F32)</f>
        <v>0</v>
      </c>
      <c r="G22" s="63">
        <f t="shared" si="3"/>
        <v>0</v>
      </c>
      <c r="H22" s="63">
        <f t="shared" si="3"/>
        <v>0</v>
      </c>
      <c r="I22" s="63">
        <f t="shared" si="3"/>
        <v>600000</v>
      </c>
      <c r="J22" s="63">
        <f t="shared" si="3"/>
        <v>0</v>
      </c>
      <c r="K22" s="63">
        <f t="shared" si="3"/>
        <v>600000</v>
      </c>
    </row>
    <row r="23" spans="2:12" x14ac:dyDescent="0.25">
      <c r="B23" s="98">
        <v>5101</v>
      </c>
      <c r="C23" s="42" t="s">
        <v>95</v>
      </c>
      <c r="D23" s="39"/>
      <c r="E23" s="40">
        <f>SUMIF('CTH BUMDES'!$B$7:$B$8,B23,'CTH BUMDES'!$G$7:$G$8)</f>
        <v>0</v>
      </c>
      <c r="F23" s="40">
        <f>SUMIF('CTH BUMDES'!$B$15:$B$16,B23,'CTH BUMDES'!$G$15:$G$16)</f>
        <v>0</v>
      </c>
      <c r="G23" s="40">
        <f>SUMIF('CTH BUMDES'!$B$23:$B$24,B23,'CTH BUMDES'!$G$23:$G$24)</f>
        <v>0</v>
      </c>
      <c r="H23" s="40">
        <f>SUMIF('CTH BUMDES'!$B$31:$B$32,B23,'CTH BUMDES'!$G$31:$G$32)</f>
        <v>0</v>
      </c>
      <c r="I23" s="40">
        <f>SUMIF('CTH BUMDES'!$B$40:$B$42,B23,'CTH BUMDES'!$G$40:$G$42)</f>
        <v>0</v>
      </c>
      <c r="J23" s="40">
        <f>SUMIF('CTH BUMDES'!$B$50:$B$52,B23,'CTH BUMDES'!$G$50:$G$52)</f>
        <v>0</v>
      </c>
      <c r="K23" s="313">
        <f t="shared" ref="K23:K28" si="4">SUM(D23:J23)</f>
        <v>0</v>
      </c>
    </row>
    <row r="24" spans="2:12" x14ac:dyDescent="0.25">
      <c r="B24" s="98">
        <v>5102</v>
      </c>
      <c r="C24" s="42" t="s">
        <v>494</v>
      </c>
      <c r="D24" s="39"/>
      <c r="E24" s="40">
        <f>SUMIF('CTH BUMDES'!$B$7:$B$8,B24,'CTH BUMDES'!$G$7:$G$8)</f>
        <v>0</v>
      </c>
      <c r="F24" s="40">
        <f>SUMIF('CTH BUMDES'!$B$15:$B$16,B24,'CTH BUMDES'!$G$15:$G$16)</f>
        <v>0</v>
      </c>
      <c r="G24" s="40">
        <f>SUMIF('CTH BUMDES'!$B$23:$B$24,B24,'CTH BUMDES'!$G$23:$G$24)</f>
        <v>0</v>
      </c>
      <c r="H24" s="40">
        <f>SUMIF('CTH BUMDES'!$B$31:$B$32,B24,'CTH BUMDES'!$G$31:$G$32)</f>
        <v>0</v>
      </c>
      <c r="I24" s="40">
        <f>SUMIF('CTH BUMDES'!$B$40:$B$42,B24,'CTH BUMDES'!$G$40:$G$42)</f>
        <v>0</v>
      </c>
      <c r="J24" s="40">
        <f>SUMIF('CTH BUMDES'!$B$50:$B$52,B24,'CTH BUMDES'!$G$50:$G$52)</f>
        <v>0</v>
      </c>
      <c r="K24" s="313">
        <f t="shared" si="4"/>
        <v>0</v>
      </c>
    </row>
    <row r="25" spans="2:12" x14ac:dyDescent="0.25">
      <c r="B25" s="98">
        <v>5103</v>
      </c>
      <c r="C25" s="42" t="s">
        <v>496</v>
      </c>
      <c r="D25" s="39"/>
      <c r="E25" s="40">
        <f>SUMIF('CTH BUMDES'!$B$7:$B$8,B25,'CTH BUMDES'!$G$7:$G$8)</f>
        <v>0</v>
      </c>
      <c r="F25" s="40">
        <f>SUMIF('CTH BUMDES'!$B$15:$B$16,B25,'CTH BUMDES'!$G$15:$G$16)</f>
        <v>0</v>
      </c>
      <c r="G25" s="40">
        <f>SUMIF('CTH BUMDES'!$B$23:$B$24,B25,'CTH BUMDES'!$G$23:$G$24)</f>
        <v>0</v>
      </c>
      <c r="H25" s="40">
        <f>SUMIF('CTH BUMDES'!$B$31:$B$32,B25,'CTH BUMDES'!$G$31:$G$32)</f>
        <v>0</v>
      </c>
      <c r="I25" s="40">
        <f>SUMIF('CTH BUMDES'!$B$40:$B$42,B25,'CTH BUMDES'!$G$40:$G$42)</f>
        <v>0</v>
      </c>
      <c r="J25" s="40">
        <f>SUMIF('CTH BUMDES'!$B$50:$B$52,B25,'CTH BUMDES'!$G$50:$G$52)</f>
        <v>0</v>
      </c>
      <c r="K25" s="313">
        <f t="shared" si="4"/>
        <v>0</v>
      </c>
    </row>
    <row r="26" spans="2:12" x14ac:dyDescent="0.25">
      <c r="B26" s="98">
        <v>5104</v>
      </c>
      <c r="C26" s="42" t="s">
        <v>661</v>
      </c>
      <c r="D26" s="39"/>
      <c r="E26" s="40">
        <f>SUMIF('CTH BUMDES'!$B$7:$B$8,B26,'CTH BUMDES'!$G$7:$G$8)</f>
        <v>0</v>
      </c>
      <c r="F26" s="40">
        <f>SUMIF('CTH BUMDES'!$B$15:$B$16,B26,'CTH BUMDES'!$G$15:$G$16)</f>
        <v>0</v>
      </c>
      <c r="G26" s="40">
        <f>SUMIF('CTH BUMDES'!$B$23:$B$24,B26,'CTH BUMDES'!$G$23:$G$24)</f>
        <v>0</v>
      </c>
      <c r="H26" s="40">
        <f>SUMIF('CTH BUMDES'!$B$31:$B$32,B26,'CTH BUMDES'!$G$31:$G$32)</f>
        <v>0</v>
      </c>
      <c r="I26" s="40">
        <f>SUMIF('CTH BUMDES'!$B$40:$B$42,B26,'CTH BUMDES'!$G$40:$G$42)</f>
        <v>0</v>
      </c>
      <c r="J26" s="40">
        <f>SUMIF('CTH BUMDES'!$B$50:$B$52,B26,'CTH BUMDES'!$G$50:$G$52)</f>
        <v>0</v>
      </c>
      <c r="K26" s="313">
        <f t="shared" si="4"/>
        <v>0</v>
      </c>
    </row>
    <row r="27" spans="2:12" x14ac:dyDescent="0.25">
      <c r="B27" s="98">
        <v>5105</v>
      </c>
      <c r="C27" s="42" t="s">
        <v>498</v>
      </c>
      <c r="D27" s="39"/>
      <c r="E27" s="40">
        <f>SUMIF('CTH BUMDES'!$B$7:$B$8,B27,'CTH BUMDES'!$G$7:$G$8)</f>
        <v>0</v>
      </c>
      <c r="F27" s="40">
        <f>SUMIF('CTH BUMDES'!$B$15:$B$16,B27,'CTH BUMDES'!$G$15:$G$16)</f>
        <v>0</v>
      </c>
      <c r="G27" s="40">
        <f>SUMIF('CTH BUMDES'!$B$23:$B$24,B27,'CTH BUMDES'!$G$23:$G$24)</f>
        <v>0</v>
      </c>
      <c r="H27" s="40">
        <f>SUMIF('CTH BUMDES'!$B$31:$B$32,B27,'CTH BUMDES'!$G$31:$G$32)</f>
        <v>0</v>
      </c>
      <c r="I27" s="40">
        <f>SUMIF('CTH BUMDES'!$B$40:$B$42,B27,'CTH BUMDES'!$G$40:$G$42)</f>
        <v>0</v>
      </c>
      <c r="J27" s="40">
        <f>SUMIF('CTH BUMDES'!$B$50:$B$52,B27,'CTH BUMDES'!$G$50:$G$52)</f>
        <v>0</v>
      </c>
      <c r="K27" s="313">
        <f t="shared" si="4"/>
        <v>0</v>
      </c>
    </row>
    <row r="28" spans="2:12" x14ac:dyDescent="0.25">
      <c r="B28" s="98">
        <v>5106</v>
      </c>
      <c r="C28" s="42" t="s">
        <v>495</v>
      </c>
      <c r="D28" s="39"/>
      <c r="E28" s="40">
        <f>SUMIF('CTH BUMDES'!$B$7:$B$8,B28,'CTH BUMDES'!$G$7:$G$8)</f>
        <v>0</v>
      </c>
      <c r="F28" s="40">
        <f>SUMIF('CTH BUMDES'!$B$15:$B$16,B28,'CTH BUMDES'!$G$15:$G$16)</f>
        <v>0</v>
      </c>
      <c r="G28" s="40">
        <f>SUMIF('CTH BUMDES'!$B$23:$B$24,B28,'CTH BUMDES'!$G$23:$G$24)</f>
        <v>0</v>
      </c>
      <c r="H28" s="40">
        <f>SUMIF('CTH BUMDES'!$B$31:$B$32,B28,'CTH BUMDES'!$G$31:$G$32)</f>
        <v>0</v>
      </c>
      <c r="I28" s="40">
        <f>SUMIF('CTH BUMDES'!$B$40:$B$42,B28,'CTH BUMDES'!$G$40:$G$42)</f>
        <v>600000</v>
      </c>
      <c r="J28" s="40">
        <f>SUMIF('CTH BUMDES'!$B$50:$B$52,B28,'CTH BUMDES'!$G$50:$G$52)</f>
        <v>0</v>
      </c>
      <c r="K28" s="313">
        <f t="shared" si="4"/>
        <v>600000</v>
      </c>
    </row>
    <row r="29" spans="2:12" x14ac:dyDescent="0.25">
      <c r="B29" s="98">
        <v>5107</v>
      </c>
      <c r="C29" s="279" t="s">
        <v>435</v>
      </c>
      <c r="D29" s="39"/>
      <c r="E29" s="40">
        <f>SUMIF('CTH BUMDES'!$B$7:$B$8,B29,'CTH BUMDES'!$G$7:$G$8)</f>
        <v>0</v>
      </c>
      <c r="F29" s="40">
        <f>SUMIF('CTH BUMDES'!$B$15:$B$16,B29,'CTH BUMDES'!$G$15:$G$16)</f>
        <v>0</v>
      </c>
      <c r="G29" s="40">
        <f>SUMIF('CTH BUMDES'!$B$23:$B$24,B29,'CTH BUMDES'!$G$23:$G$24)</f>
        <v>0</v>
      </c>
      <c r="H29" s="40">
        <f>SUMIF('CTH BUMDES'!$B$31:$B$32,B29,'CTH BUMDES'!$G$31:$G$32)</f>
        <v>0</v>
      </c>
      <c r="I29" s="40">
        <f>SUMIF('CTH BUMDES'!$B$40:$B$42,B29,'CTH BUMDES'!$G$40:$G$42)</f>
        <v>0</v>
      </c>
      <c r="J29" s="40">
        <f>SUMIF('CTH BUMDES'!$B$50:$B$52,B29,'CTH BUMDES'!$G$50:$G$52)</f>
        <v>0</v>
      </c>
      <c r="K29" s="313">
        <f t="shared" ref="K29" si="5">SUM(D29:J29)</f>
        <v>0</v>
      </c>
    </row>
    <row r="30" spans="2:12" x14ac:dyDescent="0.25">
      <c r="B30" s="98">
        <v>5108</v>
      </c>
      <c r="C30" s="42" t="s">
        <v>497</v>
      </c>
      <c r="D30" s="39"/>
      <c r="E30" s="40">
        <f>SUMIF('CTH BUMDES'!$B$7:$B$8,B30,'CTH BUMDES'!$G$7:$G$8)</f>
        <v>0</v>
      </c>
      <c r="F30" s="40">
        <f>SUMIF('CTH BUMDES'!$B$15:$B$16,B30,'CTH BUMDES'!$G$15:$G$16)</f>
        <v>0</v>
      </c>
      <c r="G30" s="40">
        <f>SUMIF('CTH BUMDES'!$B$23:$B$24,B30,'CTH BUMDES'!$G$23:$G$24)</f>
        <v>0</v>
      </c>
      <c r="H30" s="40">
        <f>SUMIF('CTH BUMDES'!$B$31:$B$32,B30,'CTH BUMDES'!$G$31:$G$32)</f>
        <v>0</v>
      </c>
      <c r="I30" s="40">
        <f>SUMIF('CTH BUMDES'!$B$40:$B$42,B30,'CTH BUMDES'!$G$40:$G$42)</f>
        <v>0</v>
      </c>
      <c r="J30" s="40">
        <f>SUMIF('CTH BUMDES'!$B$50:$B$52,B30,'CTH BUMDES'!$G$50:$G$52)</f>
        <v>0</v>
      </c>
      <c r="K30" s="313">
        <f>SUM(D30:J30)</f>
        <v>0</v>
      </c>
    </row>
    <row r="31" spans="2:12" x14ac:dyDescent="0.25">
      <c r="B31" s="98">
        <v>5109</v>
      </c>
      <c r="C31" s="279" t="s">
        <v>434</v>
      </c>
      <c r="D31" s="39"/>
      <c r="E31" s="40">
        <f>SUMIF('CTH BUMDES'!$B$7:$B$8,B31,'CTH BUMDES'!$G$7:$G$8)</f>
        <v>0</v>
      </c>
      <c r="F31" s="40">
        <f>SUMIF('CTH BUMDES'!$B$15:$B$16,B31,'CTH BUMDES'!$G$15:$G$16)</f>
        <v>0</v>
      </c>
      <c r="G31" s="40">
        <f>SUMIF('CTH BUMDES'!$B$23:$B$24,B31,'CTH BUMDES'!$G$23:$G$24)</f>
        <v>0</v>
      </c>
      <c r="H31" s="40">
        <f>SUMIF('CTH BUMDES'!$B$31:$B$32,B31,'CTH BUMDES'!$G$31:$G$32)</f>
        <v>0</v>
      </c>
      <c r="I31" s="40">
        <f>SUMIF('CTH BUMDES'!$B$40:$B$42,B31,'CTH BUMDES'!$G$40:$G$42)</f>
        <v>0</v>
      </c>
      <c r="J31" s="40">
        <f>SUMIF('CTH BUMDES'!$B$50:$B$52,B31,'CTH BUMDES'!$G$50:$G$52)</f>
        <v>0</v>
      </c>
      <c r="K31" s="313">
        <f>SUM(D31:J31)</f>
        <v>0</v>
      </c>
    </row>
    <row r="32" spans="2:12" x14ac:dyDescent="0.25">
      <c r="B32" s="98">
        <v>5110</v>
      </c>
      <c r="C32" s="98" t="s">
        <v>709</v>
      </c>
      <c r="D32" s="38"/>
      <c r="E32" s="40">
        <f>SUMIF('CTH BUMDES'!$B$7:$B$8,B32,'CTH BUMDES'!$G$7:$G$8)</f>
        <v>0</v>
      </c>
      <c r="F32" s="40">
        <f>SUMIF('CTH BUMDES'!$B$15:$B$16,B32,'CTH BUMDES'!$G$15:$G$16)</f>
        <v>0</v>
      </c>
      <c r="G32" s="40">
        <f>SUMIF('CTH BUMDES'!$B$23:$B$24,B32,'CTH BUMDES'!$G$23:$G$24)</f>
        <v>0</v>
      </c>
      <c r="H32" s="40">
        <f>SUMIF('CTH BUMDES'!$B$31:$B$32,B32,'CTH BUMDES'!$G$31:$G$32)</f>
        <v>0</v>
      </c>
      <c r="I32" s="40">
        <f>SUMIF('CTH BUMDES'!$B$40:$B$42,B32,'CTH BUMDES'!$G$40:$G$42)</f>
        <v>0</v>
      </c>
      <c r="J32" s="40">
        <f>SUMIF('CTH BUMDES'!$B$50:$B$52,B32,'CTH BUMDES'!$G$50:$G$52)</f>
        <v>0</v>
      </c>
      <c r="K32" s="313">
        <f>SUM(D32:J32)</f>
        <v>0</v>
      </c>
    </row>
    <row r="33" spans="2:13" x14ac:dyDescent="0.25">
      <c r="B33" s="98"/>
      <c r="C33" s="98"/>
      <c r="D33" s="38"/>
      <c r="E33" s="98"/>
      <c r="F33" s="98"/>
      <c r="G33" s="98"/>
      <c r="H33" s="98"/>
      <c r="I33" s="98"/>
      <c r="J33" s="98"/>
      <c r="K33" s="56"/>
    </row>
    <row r="34" spans="2:13" s="367" customFormat="1" x14ac:dyDescent="0.25">
      <c r="B34" s="34">
        <v>5200</v>
      </c>
      <c r="C34" s="34" t="s">
        <v>438</v>
      </c>
      <c r="D34" s="435"/>
      <c r="E34" s="63">
        <f>SUM(E35:E36)</f>
        <v>0</v>
      </c>
      <c r="F34" s="63">
        <f t="shared" ref="F34:K34" si="6">SUM(F35:F36)</f>
        <v>0</v>
      </c>
      <c r="G34" s="63">
        <f t="shared" si="6"/>
        <v>0</v>
      </c>
      <c r="H34" s="63">
        <f t="shared" si="6"/>
        <v>0</v>
      </c>
      <c r="I34" s="63">
        <f t="shared" si="6"/>
        <v>0</v>
      </c>
      <c r="J34" s="63">
        <f t="shared" si="6"/>
        <v>0</v>
      </c>
      <c r="K34" s="63">
        <f t="shared" si="6"/>
        <v>0</v>
      </c>
    </row>
    <row r="35" spans="2:13" x14ac:dyDescent="0.25">
      <c r="B35" s="98">
        <v>5201</v>
      </c>
      <c r="C35" s="98" t="s">
        <v>493</v>
      </c>
      <c r="D35" s="38"/>
      <c r="E35" s="40">
        <f>SUMIF('CTH BUMDES'!$B$7:$B$8,B35,'CTH BUMDES'!$G$7:$G$8)</f>
        <v>0</v>
      </c>
      <c r="F35" s="40">
        <f>SUMIF('CTH BUMDES'!$B$15:$B$16,B35,'CTH BUMDES'!$G$15:$G$16)</f>
        <v>0</v>
      </c>
      <c r="G35" s="40">
        <f>SUMIF('CTH BUMDES'!$B$23:$B$24,B35,'CTH BUMDES'!$G$23:$G$24)</f>
        <v>0</v>
      </c>
      <c r="H35" s="40">
        <f>SUMIF('CTH BUMDES'!$B$31:$B$32,B35,'CTH BUMDES'!$G$31:$G$32)</f>
        <v>0</v>
      </c>
      <c r="I35" s="40">
        <f>SUMIF('CTH BUMDES'!$B$40:$B$42,B35,'CTH BUMDES'!$G$40:$G$42)</f>
        <v>0</v>
      </c>
      <c r="J35" s="40">
        <f>SUMIF('CTH BUMDES'!$B$50:$B$52,B35,'CTH BUMDES'!$G$50:$G$52)</f>
        <v>0</v>
      </c>
      <c r="K35" s="313">
        <f>SUM(D35:J35)</f>
        <v>0</v>
      </c>
    </row>
    <row r="36" spans="2:13" x14ac:dyDescent="0.25">
      <c r="B36" s="98">
        <v>5202</v>
      </c>
      <c r="C36" s="379" t="s">
        <v>708</v>
      </c>
      <c r="D36" s="438"/>
      <c r="E36" s="40">
        <f>SUMIF('CTH BUMDES'!$B$7:$B$8,B36,'CTH BUMDES'!$G$7:$G$8)</f>
        <v>0</v>
      </c>
      <c r="F36" s="40">
        <f>SUMIF('CTH BUMDES'!$B$15:$B$16,B36,'CTH BUMDES'!$G$15:$G$16)</f>
        <v>0</v>
      </c>
      <c r="G36" s="40">
        <f>SUMIF('CTH BUMDES'!$B$23:$B$24,B36,'CTH BUMDES'!$G$23:$G$24)</f>
        <v>0</v>
      </c>
      <c r="H36" s="40">
        <f>SUMIF('CTH BUMDES'!$B$31:$B$32,B36,'CTH BUMDES'!$G$31:$G$32)</f>
        <v>0</v>
      </c>
      <c r="I36" s="40">
        <f>SUMIF('CTH BUMDES'!$B$40:$B$42,B36,'CTH BUMDES'!$G$40:$G$42)</f>
        <v>0</v>
      </c>
      <c r="J36" s="40">
        <f>SUMIF('CTH BUMDES'!$B$50:$B$52,B36,'CTH BUMDES'!$G$50:$G$52)</f>
        <v>0</v>
      </c>
      <c r="K36" s="313">
        <f>SUM(D36:J36)</f>
        <v>0</v>
      </c>
    </row>
    <row r="37" spans="2:13" x14ac:dyDescent="0.25">
      <c r="B37" s="98"/>
      <c r="C37" s="379"/>
      <c r="D37" s="438"/>
      <c r="E37" s="40"/>
      <c r="F37" s="98"/>
      <c r="G37" s="98"/>
      <c r="H37" s="98"/>
      <c r="I37" s="98"/>
      <c r="J37" s="98"/>
      <c r="K37" s="56"/>
    </row>
    <row r="38" spans="2:13" s="30" customFormat="1" x14ac:dyDescent="0.25">
      <c r="B38" s="34">
        <v>3000</v>
      </c>
      <c r="C38" s="34" t="s">
        <v>489</v>
      </c>
      <c r="D38" s="435"/>
      <c r="E38" s="63">
        <f>SUM(E39:E41)</f>
        <v>0</v>
      </c>
      <c r="F38" s="63">
        <f t="shared" ref="F38:K38" si="7">SUM(F39:F41)</f>
        <v>0</v>
      </c>
      <c r="G38" s="63">
        <f>SUM(G39:G41)</f>
        <v>0</v>
      </c>
      <c r="H38" s="63">
        <f t="shared" ref="H38:J38" si="8">SUM(H39:H41)</f>
        <v>0</v>
      </c>
      <c r="I38" s="63">
        <f t="shared" si="8"/>
        <v>0</v>
      </c>
      <c r="J38" s="63">
        <f t="shared" si="8"/>
        <v>0</v>
      </c>
      <c r="K38" s="63">
        <f t="shared" si="7"/>
        <v>0</v>
      </c>
      <c r="L38" s="64"/>
    </row>
    <row r="39" spans="2:13" x14ac:dyDescent="0.25">
      <c r="B39" s="98">
        <v>3001</v>
      </c>
      <c r="C39" s="42" t="s">
        <v>490</v>
      </c>
      <c r="D39" s="39"/>
      <c r="E39" s="40">
        <f>SUMIF('CTH BUMDES'!$B$7:$B$8,B39,'CTH BUMDES'!$G$7:$G$8)</f>
        <v>0</v>
      </c>
      <c r="F39" s="40">
        <f>SUMIF('CTH BUMDES'!$B$15:$B$16,B39,'CTH BUMDES'!$G$15:$G$16)</f>
        <v>0</v>
      </c>
      <c r="G39" s="458">
        <f>SUMIF('CTH BUMDES'!$B$23:$B$24,B39,'CTH BUMDES'!$G$23:$G$24)</f>
        <v>0</v>
      </c>
      <c r="H39" s="40">
        <f>SUMIF('CTH BUMDES'!$B$31:$B$32,B39,'CTH BUMDES'!$G$31:$G$32)</f>
        <v>0</v>
      </c>
      <c r="I39" s="40">
        <f>SUMIF('CTH BUMDES'!$B$40:$B$42,B39,'CTH BUMDES'!$G$40:$G$42)</f>
        <v>0</v>
      </c>
      <c r="J39" s="40">
        <f>SUMIF('CTH BUMDES'!$B$50:$B$52,B39,'CTH BUMDES'!$G$50:$G$52)</f>
        <v>0</v>
      </c>
      <c r="K39" s="313">
        <f t="shared" ref="K39:K41" si="9">SUM(D39:J39)</f>
        <v>0</v>
      </c>
      <c r="L39" s="43"/>
      <c r="M39" s="43"/>
    </row>
    <row r="40" spans="2:13" x14ac:dyDescent="0.25">
      <c r="B40" s="98">
        <v>3002</v>
      </c>
      <c r="C40" s="42" t="s">
        <v>491</v>
      </c>
      <c r="D40" s="39"/>
      <c r="E40" s="40">
        <f>SUMIF('CTH BUMDES'!$B$7:$B$8,B40,'CTH BUMDES'!$G$7:$G$8)</f>
        <v>0</v>
      </c>
      <c r="F40" s="40">
        <f>SUMIF('CTH BUMDES'!$B$15:$B$16,B40,'CTH BUMDES'!$G$15:$G$16)</f>
        <v>0</v>
      </c>
      <c r="G40" s="458">
        <f>SUMIF('CTH BUMDES'!$B$23:$B$24,B40,'CTH BUMDES'!$G$23:$G$24)</f>
        <v>0</v>
      </c>
      <c r="H40" s="40">
        <f>SUMIF('CTH BUMDES'!$B$31:$B$32,B40,'CTH BUMDES'!$G$31:$G$32)</f>
        <v>0</v>
      </c>
      <c r="I40" s="40">
        <f>SUMIF('CTH BUMDES'!$B$40:$B$42,B40,'CTH BUMDES'!$G$40:$G$42)</f>
        <v>0</v>
      </c>
      <c r="J40" s="40">
        <f>SUMIF('CTH BUMDES'!$B$50:$B$52,B40,'CTH BUMDES'!$G$50:$G$52)</f>
        <v>0</v>
      </c>
      <c r="K40" s="313">
        <f t="shared" si="9"/>
        <v>0</v>
      </c>
      <c r="L40" s="43"/>
    </row>
    <row r="41" spans="2:13" s="367" customFormat="1" x14ac:dyDescent="0.25">
      <c r="B41" s="98">
        <v>3003</v>
      </c>
      <c r="C41" s="42" t="s">
        <v>492</v>
      </c>
      <c r="D41" s="439"/>
      <c r="E41" s="40">
        <f>SUMIF('CTH BUMDES'!$B$7:$B$8,B41,'CTH BUMDES'!$G$7:$G$8)</f>
        <v>0</v>
      </c>
      <c r="F41" s="40">
        <f>SUMIF('CTH BUMDES'!$B$15:$B$16,B41,'CTH BUMDES'!$G$15:$G$16)</f>
        <v>0</v>
      </c>
      <c r="G41" s="458">
        <f>SUMIF('CTH BUMDES'!$B$23:$B$24,B41,'CTH BUMDES'!$G$23:$G$24)</f>
        <v>0</v>
      </c>
      <c r="H41" s="40">
        <f>SUMIF('CTH BUMDES'!$B$31:$B$32,B41,'CTH BUMDES'!$G$31:$G$32)</f>
        <v>0</v>
      </c>
      <c r="I41" s="40">
        <f>SUMIF('CTH BUMDES'!$B$40:$B$42,B41,'CTH BUMDES'!$G$40:$G$42)</f>
        <v>0</v>
      </c>
      <c r="J41" s="40">
        <f>SUMIF('CTH BUMDES'!$B$50:$B$52,B41,'CTH BUMDES'!$G$50:$G$52)</f>
        <v>0</v>
      </c>
      <c r="K41" s="313">
        <f t="shared" si="9"/>
        <v>0</v>
      </c>
      <c r="L41" s="64"/>
    </row>
    <row r="42" spans="2:13" s="367" customFormat="1" x14ac:dyDescent="0.25">
      <c r="B42" s="98"/>
      <c r="C42" s="42"/>
      <c r="D42" s="439"/>
      <c r="E42" s="40"/>
      <c r="F42" s="40"/>
      <c r="G42" s="40"/>
      <c r="H42" s="40"/>
      <c r="I42" s="40"/>
      <c r="J42" s="40"/>
      <c r="K42" s="36"/>
      <c r="L42" s="64"/>
    </row>
    <row r="43" spans="2:13" s="367" customFormat="1" x14ac:dyDescent="0.25">
      <c r="B43" s="34">
        <v>4000</v>
      </c>
      <c r="C43" s="370" t="s">
        <v>741</v>
      </c>
      <c r="D43" s="439"/>
      <c r="E43" s="368">
        <f>SUM(E44:E45)</f>
        <v>0</v>
      </c>
      <c r="F43" s="368">
        <f t="shared" ref="F43:K43" si="10">SUM(F44:F45)</f>
        <v>0</v>
      </c>
      <c r="G43" s="368">
        <f t="shared" si="10"/>
        <v>0</v>
      </c>
      <c r="H43" s="368">
        <f t="shared" si="10"/>
        <v>0</v>
      </c>
      <c r="I43" s="368">
        <f t="shared" si="10"/>
        <v>0</v>
      </c>
      <c r="J43" s="368">
        <f t="shared" si="10"/>
        <v>0</v>
      </c>
      <c r="K43" s="368">
        <f t="shared" si="10"/>
        <v>0</v>
      </c>
      <c r="L43" s="64"/>
    </row>
    <row r="44" spans="2:13" s="367" customFormat="1" x14ac:dyDescent="0.25">
      <c r="B44" s="98">
        <v>4001</v>
      </c>
      <c r="C44" s="42" t="s">
        <v>742</v>
      </c>
      <c r="D44" s="439"/>
      <c r="E44" s="40">
        <f>SUMIF('CTH BUMDES'!$B$7:$B$8,B44,'CTH BUMDES'!$G$7:$G$8)</f>
        <v>0</v>
      </c>
      <c r="F44" s="40">
        <f>SUMIF('CTH BUMDES'!$B$15:$B$16,B44,'CTH BUMDES'!$G$15:$G$16)</f>
        <v>0</v>
      </c>
      <c r="G44" s="40">
        <f>SUMIF('CTH BUMDES'!$B$23:$B$24,B44,'CTH BUMDES'!$G$23:$G$24)</f>
        <v>0</v>
      </c>
      <c r="H44" s="40">
        <f>SUMIF('CTH BUMDES'!$B$31:$B$32,B44,'CTH BUMDES'!$G$31:$G$32)</f>
        <v>0</v>
      </c>
      <c r="I44" s="40">
        <f>SUMIF('CTH BUMDES'!$B$40:$B$42,B44,'CTH BUMDES'!$G$40:$G$42)</f>
        <v>0</v>
      </c>
      <c r="J44" s="40">
        <f>SUMIF('CTH BUMDES'!$B$50:$B$52,B44,'CTH BUMDES'!$G$50:$G$52)</f>
        <v>0</v>
      </c>
      <c r="K44" s="313">
        <f>SUM(D44:J44)</f>
        <v>0</v>
      </c>
      <c r="L44" s="64"/>
    </row>
    <row r="45" spans="2:13" ht="15.75" thickBot="1" x14ac:dyDescent="0.3">
      <c r="B45" s="98"/>
      <c r="C45" s="42"/>
      <c r="D45" s="39"/>
      <c r="E45" s="40">
        <f>SUMIF('CTH BUMDES'!$B$7:$B$8,B45,'CTH BUMDES'!$G$7:$G$8)</f>
        <v>0</v>
      </c>
      <c r="F45" s="40">
        <f>SUMIF('CTH BUMDES'!$B$15:$B$16,B45,'CTH BUMDES'!$G$15:$G$16)</f>
        <v>0</v>
      </c>
      <c r="G45" s="40">
        <f>SUMIF('CTH BUMDES'!$B$23:$B$24,B45,'CTH BUMDES'!$G$23:$G$24)</f>
        <v>0</v>
      </c>
      <c r="H45" s="40">
        <f>SUMIF('CTH BUMDES'!$B$26:$B$31,B45,'CTH BUMDES'!$G$26:$G$31)</f>
        <v>0</v>
      </c>
      <c r="I45" s="40">
        <f>SUMIF('CTH BUMDES'!$B$40:$B$42,B45,'CTH BUMDES'!$G$40:$G$42)</f>
        <v>0</v>
      </c>
      <c r="J45" s="40">
        <f>SUMIF('CTH BUMDES'!$B$50:$B$52,B45,'CTH BUMDES'!$G$50:$G$52)</f>
        <v>0</v>
      </c>
      <c r="K45" s="313">
        <f t="shared" ref="K45" si="11">SUM(E45:J45)</f>
        <v>0</v>
      </c>
      <c r="L45" s="43"/>
    </row>
    <row r="46" spans="2:13" s="65" customFormat="1" ht="19.5" customHeight="1" x14ac:dyDescent="0.25">
      <c r="B46" s="296"/>
      <c r="C46" s="296" t="s">
        <v>5</v>
      </c>
      <c r="D46" s="440"/>
      <c r="E46" s="297">
        <f>E38+E21+E34+E43</f>
        <v>0</v>
      </c>
      <c r="F46" s="297">
        <f t="shared" ref="F46:J46" si="12">F38+F21+F34+F43</f>
        <v>0</v>
      </c>
      <c r="G46" s="297">
        <f>G38+G21+G34+G43</f>
        <v>0</v>
      </c>
      <c r="H46" s="297">
        <f t="shared" si="12"/>
        <v>0</v>
      </c>
      <c r="I46" s="297">
        <f t="shared" si="12"/>
        <v>600000</v>
      </c>
      <c r="J46" s="297">
        <f t="shared" si="12"/>
        <v>0</v>
      </c>
      <c r="K46" s="297">
        <f>K38+K21+K34+K43</f>
        <v>600000</v>
      </c>
      <c r="L46" s="66"/>
    </row>
    <row r="47" spans="2:13" s="65" customFormat="1" ht="19.5" customHeight="1" thickBot="1" x14ac:dyDescent="0.3">
      <c r="B47" s="298"/>
      <c r="C47" s="298" t="s">
        <v>100</v>
      </c>
      <c r="D47" s="441"/>
      <c r="E47" s="299">
        <f t="shared" ref="E47:K47" si="13">E19-E46</f>
        <v>0</v>
      </c>
      <c r="F47" s="299">
        <f t="shared" si="13"/>
        <v>0</v>
      </c>
      <c r="G47" s="299">
        <f t="shared" si="13"/>
        <v>0</v>
      </c>
      <c r="H47" s="299">
        <f t="shared" si="13"/>
        <v>0</v>
      </c>
      <c r="I47" s="299">
        <f t="shared" si="13"/>
        <v>-600000</v>
      </c>
      <c r="J47" s="299">
        <f t="shared" si="13"/>
        <v>0</v>
      </c>
      <c r="K47" s="299">
        <f t="shared" si="13"/>
        <v>-600000</v>
      </c>
    </row>
    <row r="48" spans="2:13" x14ac:dyDescent="0.25">
      <c r="E48">
        <f>'CTH BUMDES'!I9</f>
        <v>0</v>
      </c>
      <c r="F48">
        <f>'CTH BUMDES'!I17</f>
        <v>0</v>
      </c>
      <c r="G48">
        <f>'CTH BUMDES'!I25</f>
        <v>0</v>
      </c>
      <c r="H48">
        <f>'CTH BUMDES'!I33</f>
        <v>0</v>
      </c>
      <c r="I48">
        <f>'CTH BUMDES'!I43</f>
        <v>600000</v>
      </c>
      <c r="J48">
        <f>'CTH BUMDES'!I53</f>
        <v>0</v>
      </c>
    </row>
    <row r="49" spans="2:12" x14ac:dyDescent="0.25">
      <c r="E49" s="342">
        <f t="shared" ref="E49:F49" si="14">E46-E48</f>
        <v>0</v>
      </c>
      <c r="F49" s="342">
        <f t="shared" si="14"/>
        <v>0</v>
      </c>
      <c r="G49" s="342">
        <f>G46-G48</f>
        <v>0</v>
      </c>
      <c r="H49" s="342">
        <f t="shared" ref="H49:J49" si="15">H46-H48</f>
        <v>0</v>
      </c>
      <c r="I49" s="342">
        <f t="shared" si="15"/>
        <v>0</v>
      </c>
      <c r="J49" s="342">
        <f t="shared" si="15"/>
        <v>0</v>
      </c>
    </row>
    <row r="50" spans="2:12" ht="19.5" x14ac:dyDescent="0.3">
      <c r="B50" s="29" t="s">
        <v>355</v>
      </c>
    </row>
    <row r="51" spans="2:12" ht="18.75" x14ac:dyDescent="0.3">
      <c r="B51" s="26" t="s">
        <v>356</v>
      </c>
    </row>
    <row r="52" spans="2:12" x14ac:dyDescent="0.25">
      <c r="B52" s="30" t="s">
        <v>680</v>
      </c>
    </row>
    <row r="53" spans="2:12" x14ac:dyDescent="0.25">
      <c r="B53" s="367"/>
    </row>
    <row r="54" spans="2:12" x14ac:dyDescent="0.25">
      <c r="B54" s="267"/>
    </row>
    <row r="55" spans="2:12" x14ac:dyDescent="0.25">
      <c r="B55" s="267"/>
    </row>
    <row r="56" spans="2:12" x14ac:dyDescent="0.25">
      <c r="B56" s="856" t="s">
        <v>9</v>
      </c>
      <c r="C56" s="856" t="s">
        <v>20</v>
      </c>
      <c r="D56" s="433" t="s">
        <v>445</v>
      </c>
      <c r="E56" s="857">
        <v>2025</v>
      </c>
      <c r="F56" s="858"/>
      <c r="G56" s="858"/>
      <c r="H56" s="858"/>
      <c r="I56" s="858"/>
      <c r="J56" s="859"/>
      <c r="K56" s="860" t="s">
        <v>93</v>
      </c>
    </row>
    <row r="57" spans="2:12" x14ac:dyDescent="0.25">
      <c r="B57" s="856"/>
      <c r="C57" s="856"/>
      <c r="D57" s="434"/>
      <c r="E57" s="338" t="s">
        <v>440</v>
      </c>
      <c r="F57" s="338" t="s">
        <v>441</v>
      </c>
      <c r="G57" s="338" t="s">
        <v>442</v>
      </c>
      <c r="H57" s="338" t="s">
        <v>443</v>
      </c>
      <c r="I57" s="338" t="s">
        <v>14</v>
      </c>
      <c r="J57" s="338" t="s">
        <v>15</v>
      </c>
      <c r="K57" s="860"/>
    </row>
    <row r="58" spans="2:12" x14ac:dyDescent="0.25">
      <c r="B58" s="365"/>
      <c r="C58" s="365"/>
      <c r="D58" s="414"/>
      <c r="E58" s="3"/>
      <c r="F58" s="3"/>
      <c r="G58" s="3"/>
      <c r="H58" s="3"/>
      <c r="I58" s="3"/>
      <c r="J58" s="3"/>
      <c r="K58" s="33"/>
    </row>
    <row r="59" spans="2:12" x14ac:dyDescent="0.25">
      <c r="B59" s="34">
        <v>1000</v>
      </c>
      <c r="C59" s="34" t="s">
        <v>82</v>
      </c>
      <c r="D59" s="435"/>
      <c r="E59" s="35"/>
      <c r="F59" s="35"/>
      <c r="G59" s="35"/>
      <c r="H59" s="35"/>
      <c r="I59" s="35"/>
      <c r="J59" s="35"/>
      <c r="K59" s="36">
        <f>SUM(K60)</f>
        <v>216700000</v>
      </c>
    </row>
    <row r="60" spans="2:12" x14ac:dyDescent="0.25">
      <c r="B60" s="34">
        <v>1002</v>
      </c>
      <c r="C60" s="34" t="s">
        <v>910</v>
      </c>
      <c r="D60" s="435"/>
      <c r="E60" s="35"/>
      <c r="F60" s="35"/>
      <c r="G60" s="35"/>
      <c r="H60" s="35"/>
      <c r="I60" s="35"/>
      <c r="J60" s="40">
        <f>SUMIF('CTH BUMDES'!$B$121:$B$129,B60,'CTH BUMDES'!$F$121:$F$129)</f>
        <v>216700000</v>
      </c>
      <c r="K60" s="41">
        <f>SUM(D60:J60)</f>
        <v>216700000</v>
      </c>
    </row>
    <row r="61" spans="2:12" x14ac:dyDescent="0.25">
      <c r="B61" s="34"/>
      <c r="C61" s="34"/>
      <c r="D61" s="435"/>
      <c r="E61" s="35"/>
      <c r="F61" s="35"/>
      <c r="G61" s="35"/>
      <c r="H61" s="35"/>
      <c r="I61" s="35"/>
      <c r="J61" s="40"/>
      <c r="K61" s="41"/>
    </row>
    <row r="62" spans="2:12" x14ac:dyDescent="0.25">
      <c r="B62" s="34">
        <v>2000</v>
      </c>
      <c r="C62" s="34" t="s">
        <v>711</v>
      </c>
      <c r="D62" s="368">
        <f>SUM(D63:D66)</f>
        <v>0</v>
      </c>
      <c r="E62" s="35">
        <f t="shared" ref="E62:I62" si="16">SUM(E63:E66)</f>
        <v>0</v>
      </c>
      <c r="F62" s="35">
        <f t="shared" si="16"/>
        <v>0</v>
      </c>
      <c r="G62" s="35">
        <f t="shared" si="16"/>
        <v>0</v>
      </c>
      <c r="H62" s="35">
        <f t="shared" si="16"/>
        <v>0</v>
      </c>
      <c r="I62" s="35">
        <f t="shared" si="16"/>
        <v>0</v>
      </c>
      <c r="J62" s="35">
        <f>SUM(J63:J66)</f>
        <v>35053150</v>
      </c>
      <c r="K62" s="35">
        <f>SUM(K63:K66)</f>
        <v>35053150</v>
      </c>
      <c r="L62" s="342"/>
    </row>
    <row r="63" spans="2:12" x14ac:dyDescent="0.25">
      <c r="B63" s="38">
        <v>2001</v>
      </c>
      <c r="C63" s="39" t="s">
        <v>710</v>
      </c>
      <c r="D63" s="341">
        <f>K14</f>
        <v>0</v>
      </c>
      <c r="E63" s="40">
        <f>SUMIF('CTH BUMDES'!$B$60:$B$62,B63,'CTH BUMDES'!$F$60:$F$62)</f>
        <v>0</v>
      </c>
      <c r="F63" s="40">
        <f>SUMIF('CTH BUMDES'!$B$70:$B$72,B63,'CTH BUMDES'!$F$70:$F$72)</f>
        <v>0</v>
      </c>
      <c r="G63" s="40">
        <f>SUMIF('CTH BUMDES'!$B$80:$B$92,B63,'CTH BUMDES'!$F$80:$F$92)</f>
        <v>0</v>
      </c>
      <c r="H63" s="40">
        <f>SUMIF('CTH BUMDES'!$B$100:$B$102,B63,'CTH BUMDES'!$F$100:$F$102)</f>
        <v>0</v>
      </c>
      <c r="I63" s="40">
        <f>SUMIF('CTH BUMDES'!$B$110:$B$113,B63,'CTH BUMDES'!$F$110:$F$113)</f>
        <v>0</v>
      </c>
      <c r="J63" s="40">
        <f>SUMIF('CTH BUMDES'!$B$121:$B$129,B63,'CTH BUMDES'!$F$121:$F$129)</f>
        <v>10880000</v>
      </c>
      <c r="K63" s="41">
        <f>SUM(D63:J63)</f>
        <v>10880000</v>
      </c>
    </row>
    <row r="64" spans="2:12" x14ac:dyDescent="0.25">
      <c r="B64" s="38">
        <v>2002</v>
      </c>
      <c r="C64" s="42" t="s">
        <v>537</v>
      </c>
      <c r="D64" s="341">
        <f>K15</f>
        <v>0</v>
      </c>
      <c r="E64" s="40">
        <f>SUMIF('CTH BUMDES'!$B$60:$B$62,B64,'CTH BUMDES'!$F$60:$F$62)</f>
        <v>0</v>
      </c>
      <c r="F64" s="40">
        <f>SUMIF('CTH BUMDES'!$B$70:$B$72,B64,'CTH BUMDES'!$F$70:$F$72)</f>
        <v>0</v>
      </c>
      <c r="G64" s="40">
        <f>SUMIF('CTH BUMDES'!$B$80:$B$92,B64,'CTH BUMDES'!$F$80:$F$92)</f>
        <v>0</v>
      </c>
      <c r="H64" s="40">
        <f>SUMIF('CTH BUMDES'!$B$100:$B$102,B64,'CTH BUMDES'!$F$100:$F$102)</f>
        <v>0</v>
      </c>
      <c r="I64" s="40">
        <f>SUMIF('CTH BUMDES'!$B$110:$B$113,B64,'CTH BUMDES'!$F$110:$F$113)</f>
        <v>0</v>
      </c>
      <c r="J64" s="40">
        <f>SUMIF('CTH BUMDES'!$B$121:$B$129,B64,'CTH BUMDES'!$F$121:$F$129)</f>
        <v>6880000</v>
      </c>
      <c r="K64" s="41">
        <f>SUM(D64:J64)</f>
        <v>6880000</v>
      </c>
    </row>
    <row r="65" spans="2:12" x14ac:dyDescent="0.25">
      <c r="B65" s="38">
        <v>2003</v>
      </c>
      <c r="C65" s="42" t="s">
        <v>671</v>
      </c>
      <c r="D65" s="341">
        <f>K16</f>
        <v>0</v>
      </c>
      <c r="E65" s="40">
        <f>SUMIF('CTH BUMDES'!$B$60:$B$62,B65,'CTH BUMDES'!$F$60:$F$62)</f>
        <v>0</v>
      </c>
      <c r="F65" s="40">
        <f>SUMIF('CTH BUMDES'!$B$70:$B$72,B65,'CTH BUMDES'!$F$70:$F$72)</f>
        <v>0</v>
      </c>
      <c r="G65" s="40">
        <f>SUMIF('CTH BUMDES'!$B$80:$B$92,B65,'CTH BUMDES'!$F$80:$F$92)</f>
        <v>0</v>
      </c>
      <c r="H65" s="40">
        <f>SUMIF('CTH BUMDES'!$B$100:$B$102,B65,'CTH BUMDES'!$F$100:$F$102)</f>
        <v>0</v>
      </c>
      <c r="I65" s="40">
        <f>SUMIF('CTH BUMDES'!$B$110:$B$113,B65,'CTH BUMDES'!$F$110:$F$113)</f>
        <v>0</v>
      </c>
      <c r="J65" s="40">
        <f>SUMIF('CTH BUMDES'!$B$121:$B$129,B65,'CTH BUMDES'!$F$121:$F$129)</f>
        <v>15203300</v>
      </c>
      <c r="K65" s="41">
        <f>SUM(D65:J65)</f>
        <v>15203300</v>
      </c>
    </row>
    <row r="66" spans="2:12" x14ac:dyDescent="0.25">
      <c r="B66" s="38">
        <v>2004</v>
      </c>
      <c r="C66" s="42" t="s">
        <v>877</v>
      </c>
      <c r="D66" s="341">
        <f t="shared" ref="D66" si="17">K17</f>
        <v>0</v>
      </c>
      <c r="E66" s="40">
        <f>SUMIF('CTH BUMDES'!$B$60:$B$62,B66,'CTH BUMDES'!$F$60:$F$62)</f>
        <v>0</v>
      </c>
      <c r="F66" s="40">
        <f>SUMIF('CTH BUMDES'!$B$70:$B$72,B66,'CTH BUMDES'!$F$70:$F$72)</f>
        <v>0</v>
      </c>
      <c r="G66" s="40">
        <f>SUMIF('CTH BUMDES'!$B$80:$B$92,B66,'CTH BUMDES'!$F$80:$F$92)</f>
        <v>0</v>
      </c>
      <c r="H66" s="40">
        <f>SUMIF('CTH BUMDES'!$B$100:$B$102,B66,'CTH BUMDES'!$F$100:$F$102)</f>
        <v>0</v>
      </c>
      <c r="I66" s="40">
        <f>SUMIF('CTH BUMDES'!$B$110:$B$113,B66,'CTH BUMDES'!$F$110:$F$113)</f>
        <v>0</v>
      </c>
      <c r="J66" s="40">
        <f>SUMIF('CTH BUMDES'!$B$121:$B$129,B66,'CTH BUMDES'!$F$121:$F$129)</f>
        <v>2089850</v>
      </c>
      <c r="K66" s="41">
        <f>SUM(D66:J66)</f>
        <v>2089850</v>
      </c>
    </row>
    <row r="67" spans="2:12" x14ac:dyDescent="0.25">
      <c r="B67" s="49"/>
      <c r="C67" s="58" t="s">
        <v>102</v>
      </c>
      <c r="D67" s="50">
        <f>D59+D62</f>
        <v>0</v>
      </c>
      <c r="E67" s="59">
        <f t="shared" ref="E67:J67" si="18">E59+E62</f>
        <v>0</v>
      </c>
      <c r="F67" s="59">
        <f t="shared" si="18"/>
        <v>0</v>
      </c>
      <c r="G67" s="59">
        <f t="shared" si="18"/>
        <v>0</v>
      </c>
      <c r="H67" s="59">
        <f t="shared" si="18"/>
        <v>0</v>
      </c>
      <c r="I67" s="59">
        <f t="shared" si="18"/>
        <v>0</v>
      </c>
      <c r="J67" s="59">
        <f t="shared" si="18"/>
        <v>35053150</v>
      </c>
      <c r="K67" s="59">
        <f>K59+K62</f>
        <v>251753150</v>
      </c>
    </row>
    <row r="68" spans="2:12" x14ac:dyDescent="0.25">
      <c r="B68" s="98"/>
      <c r="C68" s="98"/>
      <c r="D68" s="562"/>
      <c r="E68" s="44">
        <f>SUMIF('cth sp'!$B$9:$B$84,B68,'cth sp'!$E$9:$E$84)</f>
        <v>0</v>
      </c>
      <c r="F68" s="98"/>
      <c r="G68" s="98"/>
      <c r="H68" s="98"/>
      <c r="I68" s="98"/>
      <c r="J68" s="98"/>
      <c r="K68" s="56">
        <f>SUM(E68:G68)</f>
        <v>0</v>
      </c>
      <c r="L68" s="342"/>
    </row>
    <row r="69" spans="2:12" x14ac:dyDescent="0.25">
      <c r="B69" s="61">
        <v>5000</v>
      </c>
      <c r="C69" s="61" t="s">
        <v>85</v>
      </c>
      <c r="D69" s="51">
        <f>D70</f>
        <v>600000</v>
      </c>
      <c r="E69" s="51">
        <f t="shared" ref="E69:J69" si="19">E70</f>
        <v>0</v>
      </c>
      <c r="F69" s="51">
        <f t="shared" si="19"/>
        <v>0</v>
      </c>
      <c r="G69" s="51">
        <f t="shared" si="19"/>
        <v>702000</v>
      </c>
      <c r="H69" s="51">
        <f t="shared" si="19"/>
        <v>0</v>
      </c>
      <c r="I69" s="51">
        <f t="shared" si="19"/>
        <v>0</v>
      </c>
      <c r="J69" s="51">
        <f t="shared" si="19"/>
        <v>400000</v>
      </c>
      <c r="K69" s="51">
        <f>K70</f>
        <v>1702000</v>
      </c>
    </row>
    <row r="70" spans="2:12" x14ac:dyDescent="0.25">
      <c r="B70" s="98">
        <v>5100</v>
      </c>
      <c r="C70" s="34" t="s">
        <v>94</v>
      </c>
      <c r="D70" s="444">
        <f>SUM(D71:D80)</f>
        <v>600000</v>
      </c>
      <c r="E70" s="444">
        <f t="shared" ref="E70:J70" si="20">SUM(E71:E80)</f>
        <v>0</v>
      </c>
      <c r="F70" s="444">
        <f t="shared" si="20"/>
        <v>0</v>
      </c>
      <c r="G70" s="444">
        <f t="shared" si="20"/>
        <v>702000</v>
      </c>
      <c r="H70" s="444">
        <f t="shared" si="20"/>
        <v>0</v>
      </c>
      <c r="I70" s="444">
        <f t="shared" si="20"/>
        <v>0</v>
      </c>
      <c r="J70" s="444">
        <f t="shared" si="20"/>
        <v>400000</v>
      </c>
      <c r="K70" s="444">
        <f>SUM(K71:K80)</f>
        <v>1702000</v>
      </c>
    </row>
    <row r="71" spans="2:12" x14ac:dyDescent="0.25">
      <c r="B71" s="98">
        <v>5101</v>
      </c>
      <c r="C71" s="42" t="s">
        <v>95</v>
      </c>
      <c r="D71" s="442">
        <f t="shared" ref="D71:D80" si="21">K23</f>
        <v>0</v>
      </c>
      <c r="E71" s="40">
        <f>SUMIF('CTH BUMDES'!$B$60:$B$62,B71,'CTH BUMDES'!$G$60:$G$62)</f>
        <v>0</v>
      </c>
      <c r="F71" s="40">
        <f>SUMIF('CTH BUMDES'!$B$70:$B$72,B71,'CTH BUMDES'!$G$70:$G$72)</f>
        <v>0</v>
      </c>
      <c r="G71" s="40">
        <f>SUMIF('CTH BUMDES'!$B$80:$B$92,B71,'CTH BUMDES'!$G$80:$G$92)</f>
        <v>0</v>
      </c>
      <c r="H71" s="40">
        <f>SUMIF('CTH BUMDES'!$B$100:$B$102,B71,'CTH BUMDES'!$G$100:$G$102)</f>
        <v>0</v>
      </c>
      <c r="I71" s="40">
        <f>SUMIF('CTH BUMDES'!$B$110:$B$113,B71,'CTH BUMDES'!$G$110:$G$113)</f>
        <v>0</v>
      </c>
      <c r="J71" s="40">
        <f>SUMIF('CTH BUMDES'!$B$121:$B$129,B71,'CTH BUMDES'!$G$121:$G$129)</f>
        <v>0</v>
      </c>
      <c r="K71" s="313">
        <f>SUM(D71:J71)</f>
        <v>0</v>
      </c>
    </row>
    <row r="72" spans="2:12" x14ac:dyDescent="0.25">
      <c r="B72" s="98">
        <v>5102</v>
      </c>
      <c r="C72" s="42" t="s">
        <v>494</v>
      </c>
      <c r="D72" s="442">
        <f t="shared" si="21"/>
        <v>0</v>
      </c>
      <c r="E72" s="40">
        <f>SUMIF('CTH BUMDES'!$B$60:$B$62,B72,'CTH BUMDES'!$G$60:$G$62)</f>
        <v>0</v>
      </c>
      <c r="F72" s="40">
        <f>SUMIF('CTH BUMDES'!$B$70:$B$72,B72,'CTH BUMDES'!$G$70:$G$72)</f>
        <v>0</v>
      </c>
      <c r="G72" s="40">
        <f>SUMIF('CTH BUMDES'!$B$80:$B$92,B72,'CTH BUMDES'!$G$80:$G$92)</f>
        <v>450000</v>
      </c>
      <c r="H72" s="40">
        <f>SUMIF('CTH BUMDES'!$B$100:$B$102,B72,'CTH BUMDES'!$G$100:$G$102)</f>
        <v>0</v>
      </c>
      <c r="I72" s="40">
        <f>SUMIF('CTH BUMDES'!$B$110:$B$113,B72,'CTH BUMDES'!$G$110:$G$113)</f>
        <v>0</v>
      </c>
      <c r="J72" s="40">
        <f>SUMIF('CTH BUMDES'!$B$121:$B$129,B72,'CTH BUMDES'!$G$121:$G$129)</f>
        <v>0</v>
      </c>
      <c r="K72" s="313">
        <f t="shared" ref="K72:K79" si="22">SUM(D72:J72)</f>
        <v>450000</v>
      </c>
    </row>
    <row r="73" spans="2:12" x14ac:dyDescent="0.25">
      <c r="B73" s="98">
        <v>5103</v>
      </c>
      <c r="C73" s="42" t="s">
        <v>496</v>
      </c>
      <c r="D73" s="442">
        <f t="shared" si="21"/>
        <v>0</v>
      </c>
      <c r="E73" s="40">
        <f>SUMIF('CTH BUMDES'!$B$60:$B$62,B73,'CTH BUMDES'!$G$60:$G$62)</f>
        <v>0</v>
      </c>
      <c r="F73" s="40">
        <f>SUMIF('CTH BUMDES'!$B$70:$B$72,B73,'CTH BUMDES'!$G$70:$G$72)</f>
        <v>0</v>
      </c>
      <c r="G73" s="40">
        <f>SUMIF('CTH BUMDES'!$B$80:$B$92,B73,'CTH BUMDES'!$G$80:$G$92)</f>
        <v>0</v>
      </c>
      <c r="H73" s="40">
        <f>SUMIF('CTH BUMDES'!$B$100:$B$102,B73,'CTH BUMDES'!$G$100:$G$102)</f>
        <v>0</v>
      </c>
      <c r="I73" s="40">
        <f>SUMIF('CTH BUMDES'!$B$110:$B$113,B73,'CTH BUMDES'!$G$110:$G$113)</f>
        <v>0</v>
      </c>
      <c r="J73" s="40">
        <f>SUMIF('CTH BUMDES'!$B$121:$B$129,B73,'CTH BUMDES'!$G$121:$G$129)</f>
        <v>0</v>
      </c>
      <c r="K73" s="313">
        <f t="shared" si="22"/>
        <v>0</v>
      </c>
    </row>
    <row r="74" spans="2:12" x14ac:dyDescent="0.25">
      <c r="B74" s="98">
        <v>5104</v>
      </c>
      <c r="C74" s="42" t="s">
        <v>661</v>
      </c>
      <c r="D74" s="442">
        <f t="shared" si="21"/>
        <v>0</v>
      </c>
      <c r="E74" s="40">
        <f>SUMIF('CTH BUMDES'!$B$60:$B$62,B74,'CTH BUMDES'!$G$60:$G$62)</f>
        <v>0</v>
      </c>
      <c r="F74" s="40">
        <f>SUMIF('CTH BUMDES'!$B$70:$B$72,B74,'CTH BUMDES'!$G$70:$G$72)</f>
        <v>0</v>
      </c>
      <c r="G74" s="40">
        <f>SUMIF('CTH BUMDES'!$B$80:$B$92,B74,'CTH BUMDES'!$G$80:$G$92)</f>
        <v>52000</v>
      </c>
      <c r="H74" s="40">
        <f>SUMIF('CTH BUMDES'!$B$100:$B$102,B74,'CTH BUMDES'!$G$100:$G$102)</f>
        <v>0</v>
      </c>
      <c r="I74" s="40">
        <f>SUMIF('CTH BUMDES'!$B$110:$B$113,B74,'CTH BUMDES'!$G$110:$G$113)</f>
        <v>0</v>
      </c>
      <c r="J74" s="40">
        <f>SUMIF('CTH BUMDES'!$B$121:$B$129,B74,'CTH BUMDES'!$G$121:$G$129)</f>
        <v>300000</v>
      </c>
      <c r="K74" s="313">
        <f>SUM(D74:J74)</f>
        <v>352000</v>
      </c>
    </row>
    <row r="75" spans="2:12" x14ac:dyDescent="0.25">
      <c r="B75" s="98">
        <v>5105</v>
      </c>
      <c r="C75" s="42" t="s">
        <v>498</v>
      </c>
      <c r="D75" s="442">
        <f t="shared" si="21"/>
        <v>0</v>
      </c>
      <c r="E75" s="40">
        <f>SUMIF('CTH BUMDES'!$B$60:$B$62,B75,'CTH BUMDES'!$G$60:$G$62)</f>
        <v>0</v>
      </c>
      <c r="F75" s="40">
        <f>SUMIF('CTH BUMDES'!$B$70:$B$72,B75,'CTH BUMDES'!$G$70:$G$72)</f>
        <v>0</v>
      </c>
      <c r="G75" s="40">
        <f>SUMIF('CTH BUMDES'!$B$80:$B$92,B75,'CTH BUMDES'!$G$80:$G$92)</f>
        <v>0</v>
      </c>
      <c r="H75" s="40">
        <f>SUMIF('CTH BUMDES'!$B$100:$B$102,B75,'CTH BUMDES'!$G$100:$G$102)</f>
        <v>0</v>
      </c>
      <c r="I75" s="40">
        <f>SUMIF('CTH BUMDES'!$B$110:$B$113,B75,'CTH BUMDES'!$G$110:$G$113)</f>
        <v>0</v>
      </c>
      <c r="J75" s="40">
        <f>SUMIF('CTH BUMDES'!$B$121:$B$129,B75,'CTH BUMDES'!$G$121:$G$129)</f>
        <v>0</v>
      </c>
      <c r="K75" s="313">
        <f t="shared" si="22"/>
        <v>0</v>
      </c>
    </row>
    <row r="76" spans="2:12" x14ac:dyDescent="0.25">
      <c r="B76" s="98">
        <v>5106</v>
      </c>
      <c r="C76" s="42" t="s">
        <v>495</v>
      </c>
      <c r="D76" s="442">
        <f t="shared" si="21"/>
        <v>600000</v>
      </c>
      <c r="E76" s="40">
        <f>SUMIF('CTH BUMDES'!$B$60:$B$62,B76,'CTH BUMDES'!$G$60:$G$62)</f>
        <v>0</v>
      </c>
      <c r="F76" s="40">
        <f>SUMIF('CTH BUMDES'!$B$70:$B$72,B76,'CTH BUMDES'!$G$70:$G$72)</f>
        <v>0</v>
      </c>
      <c r="G76" s="40">
        <f>SUMIF('CTH BUMDES'!$B$80:$B$92,B76,'CTH BUMDES'!$G$80:$G$92)</f>
        <v>200000</v>
      </c>
      <c r="H76" s="40">
        <f>SUMIF('CTH BUMDES'!$B$100:$B$102,B76,'CTH BUMDES'!$G$100:$G$102)</f>
        <v>0</v>
      </c>
      <c r="I76" s="40">
        <f>SUMIF('CTH BUMDES'!$B$110:$B$113,B76,'CTH BUMDES'!$G$110:$G$113)</f>
        <v>0</v>
      </c>
      <c r="J76" s="40">
        <f>SUMIF('CTH BUMDES'!$B$121:$B$129,B76,'CTH BUMDES'!$G$121:$G$129)</f>
        <v>0</v>
      </c>
      <c r="K76" s="313">
        <f>SUM(D76:J76)</f>
        <v>800000</v>
      </c>
    </row>
    <row r="77" spans="2:12" x14ac:dyDescent="0.25">
      <c r="B77" s="98">
        <v>5107</v>
      </c>
      <c r="C77" s="279" t="s">
        <v>435</v>
      </c>
      <c r="D77" s="442">
        <f t="shared" si="21"/>
        <v>0</v>
      </c>
      <c r="E77" s="40">
        <f>SUMIF('CTH BUMDES'!$B$60:$B$62,B77,'CTH BUMDES'!$G$60:$G$62)</f>
        <v>0</v>
      </c>
      <c r="F77" s="40">
        <f>SUMIF('CTH BUMDES'!$B$70:$B$72,B77,'CTH BUMDES'!$G$70:$G$72)</f>
        <v>0</v>
      </c>
      <c r="G77" s="40">
        <f>SUMIF('CTH BUMDES'!$B$80:$B$92,B77,'CTH BUMDES'!$G$80:$G$92)</f>
        <v>0</v>
      </c>
      <c r="H77" s="40">
        <f>SUMIF('CTH BUMDES'!$B$100:$B$102,B77,'CTH BUMDES'!$G$100:$G$102)</f>
        <v>0</v>
      </c>
      <c r="I77" s="40">
        <f>SUMIF('CTH BUMDES'!$B$110:$B$113,B77,'CTH BUMDES'!$G$110:$G$113)</f>
        <v>0</v>
      </c>
      <c r="J77" s="40">
        <f>SUMIF('CTH BUMDES'!$B$121:$B$129,B77,'CTH BUMDES'!$G$121:$G$129)</f>
        <v>0</v>
      </c>
      <c r="K77" s="313">
        <f t="shared" si="22"/>
        <v>0</v>
      </c>
    </row>
    <row r="78" spans="2:12" x14ac:dyDescent="0.25">
      <c r="B78" s="98">
        <v>5108</v>
      </c>
      <c r="C78" s="42" t="s">
        <v>497</v>
      </c>
      <c r="D78" s="442">
        <f t="shared" si="21"/>
        <v>0</v>
      </c>
      <c r="E78" s="40">
        <f>SUMIF('CTH BUMDES'!$B$60:$B$62,B78,'CTH BUMDES'!$G$60:$G$62)</f>
        <v>0</v>
      </c>
      <c r="F78" s="40">
        <f>SUMIF('CTH BUMDES'!$B$70:$B$72,B78,'CTH BUMDES'!$G$70:$G$72)</f>
        <v>0</v>
      </c>
      <c r="G78" s="40">
        <f>SUMIF('CTH BUMDES'!$B$80:$B$92,B78,'CTH BUMDES'!$G$80:$G$92)</f>
        <v>0</v>
      </c>
      <c r="H78" s="40">
        <f>SUMIF('CTH BUMDES'!$B$100:$B$102,B78,'CTH BUMDES'!$G$100:$G$102)</f>
        <v>0</v>
      </c>
      <c r="I78" s="40">
        <f>SUMIF('CTH BUMDES'!$B$110:$B$113,B78,'CTH BUMDES'!$G$110:$G$113)</f>
        <v>0</v>
      </c>
      <c r="J78" s="40">
        <f>SUMIF('CTH BUMDES'!$B$121:$B$129,B78,'CTH BUMDES'!$G$121:$G$129)</f>
        <v>0</v>
      </c>
      <c r="K78" s="313">
        <f t="shared" si="22"/>
        <v>0</v>
      </c>
    </row>
    <row r="79" spans="2:12" x14ac:dyDescent="0.25">
      <c r="B79" s="98">
        <v>5109</v>
      </c>
      <c r="C79" s="279" t="s">
        <v>434</v>
      </c>
      <c r="D79" s="442">
        <f t="shared" si="21"/>
        <v>0</v>
      </c>
      <c r="E79" s="40">
        <f>SUMIF('CTH BUMDES'!$B$60:$B$62,B79,'CTH BUMDES'!$G$60:$G$62)</f>
        <v>0</v>
      </c>
      <c r="F79" s="40">
        <f>SUMIF('CTH BUMDES'!$B$70:$B$72,B79,'CTH BUMDES'!$G$70:$G$72)</f>
        <v>0</v>
      </c>
      <c r="G79" s="40">
        <f>SUMIF('CTH BUMDES'!$B$80:$B$92,B79,'CTH BUMDES'!$G$80:$G$92)</f>
        <v>0</v>
      </c>
      <c r="H79" s="40">
        <f>SUMIF('CTH BUMDES'!$B$100:$B$102,B79,'CTH BUMDES'!$G$100:$G$102)</f>
        <v>0</v>
      </c>
      <c r="I79" s="40">
        <f>SUMIF('CTH BUMDES'!$B$110:$B$113,B79,'CTH BUMDES'!$G$110:$G$113)</f>
        <v>0</v>
      </c>
      <c r="J79" s="40">
        <f>SUMIF('CTH BUMDES'!$B$121:$B$129,B79,'CTH BUMDES'!$G$121:$G$129)</f>
        <v>100000</v>
      </c>
      <c r="K79" s="313">
        <f t="shared" si="22"/>
        <v>100000</v>
      </c>
    </row>
    <row r="80" spans="2:12" x14ac:dyDescent="0.25">
      <c r="B80" s="98">
        <v>5110</v>
      </c>
      <c r="C80" s="98" t="s">
        <v>709</v>
      </c>
      <c r="D80" s="442">
        <f t="shared" si="21"/>
        <v>0</v>
      </c>
      <c r="E80" s="40">
        <f>SUMIF('CTH BUMDES'!$B$60:$B$62,B80,'CTH BUMDES'!$G$60:$G$62)</f>
        <v>0</v>
      </c>
      <c r="F80" s="40">
        <f>SUMIF('CTH BUMDES'!$B$70:$B$72,B80,'CTH BUMDES'!$G$70:$G$72)</f>
        <v>0</v>
      </c>
      <c r="G80" s="40">
        <f>SUMIF('CTH BUMDES'!$B$80:$B$92,B80,'CTH BUMDES'!$G$80:$G$92)</f>
        <v>0</v>
      </c>
      <c r="H80" s="40">
        <f>SUMIF('CTH BUMDES'!$B$100:$B$102,B80,'CTH BUMDES'!$G$100:$G$102)</f>
        <v>0</v>
      </c>
      <c r="I80" s="40">
        <f>SUMIF('CTH BUMDES'!$B$110:$B$113,B80,'CTH BUMDES'!$G$110:$G$113)</f>
        <v>0</v>
      </c>
      <c r="J80" s="40">
        <f>SUMIF('CTH BUMDES'!$B$121:$B$129,B80,'CTH BUMDES'!$G$121:$G$129)</f>
        <v>0</v>
      </c>
      <c r="K80" s="313">
        <f t="shared" ref="K80" si="23">SUM(D80:J80)</f>
        <v>0</v>
      </c>
    </row>
    <row r="81" spans="2:12" x14ac:dyDescent="0.25">
      <c r="B81" s="98"/>
      <c r="C81" s="98"/>
      <c r="D81" s="38"/>
      <c r="E81" s="98"/>
      <c r="F81" s="98"/>
      <c r="G81" s="98"/>
      <c r="H81" s="98"/>
      <c r="I81" s="98"/>
      <c r="J81" s="98"/>
      <c r="K81" s="313">
        <f t="shared" ref="K81" si="24">SUM(D81:J81)</f>
        <v>0</v>
      </c>
    </row>
    <row r="82" spans="2:12" s="367" customFormat="1" x14ac:dyDescent="0.25">
      <c r="B82" s="34">
        <v>5200</v>
      </c>
      <c r="C82" s="34" t="s">
        <v>438</v>
      </c>
      <c r="D82" s="443">
        <f>SUM(D83:D84)</f>
        <v>0</v>
      </c>
      <c r="E82" s="443">
        <f t="shared" ref="E82:K82" si="25">SUM(E83:E84)</f>
        <v>0</v>
      </c>
      <c r="F82" s="443">
        <f t="shared" si="25"/>
        <v>0</v>
      </c>
      <c r="G82" s="443">
        <f t="shared" si="25"/>
        <v>0</v>
      </c>
      <c r="H82" s="443">
        <f t="shared" si="25"/>
        <v>0</v>
      </c>
      <c r="I82" s="443">
        <f t="shared" si="25"/>
        <v>0</v>
      </c>
      <c r="J82" s="443">
        <f t="shared" si="25"/>
        <v>0</v>
      </c>
      <c r="K82" s="443">
        <f t="shared" si="25"/>
        <v>0</v>
      </c>
    </row>
    <row r="83" spans="2:12" x14ac:dyDescent="0.25">
      <c r="B83" s="98">
        <v>5201</v>
      </c>
      <c r="C83" s="98" t="s">
        <v>493</v>
      </c>
      <c r="D83" s="442">
        <f>K35</f>
        <v>0</v>
      </c>
      <c r="E83" s="40">
        <f>SUMIF('CTH BUMDES'!$B$60:$B$62,B83,'CTH BUMDES'!$G$60:$G$62)</f>
        <v>0</v>
      </c>
      <c r="F83" s="40">
        <f>SUMIF('CTH BUMDES'!$B$70:$B$72,B83,'CTH BUMDES'!$G$70:$G$72)</f>
        <v>0</v>
      </c>
      <c r="G83" s="40">
        <f>SUMIF('CTH BUMDES'!$B$80:$B$92,B83,'CTH BUMDES'!$G$80:$G$92)</f>
        <v>0</v>
      </c>
      <c r="H83" s="40">
        <f>SUMIF('CTH BUMDES'!$B$100:$B$102,B83,'CTH BUMDES'!$G$100:$G$102)</f>
        <v>0</v>
      </c>
      <c r="I83" s="40">
        <f>SUMIF('CTH BUMDES'!$B$110:$B$113,B83,'CTH BUMDES'!$G$110:$G$113)</f>
        <v>0</v>
      </c>
      <c r="J83" s="40">
        <f>SUMIF('CTH BUMDES'!$B$121:$B$129,B83,'CTH BUMDES'!$G$121:$G$129)</f>
        <v>0</v>
      </c>
      <c r="K83" s="313">
        <f>SUM(D83:J83)</f>
        <v>0</v>
      </c>
    </row>
    <row r="84" spans="2:12" x14ac:dyDescent="0.25">
      <c r="B84" s="98">
        <v>5202</v>
      </c>
      <c r="C84" s="379" t="s">
        <v>708</v>
      </c>
      <c r="D84" s="442">
        <f>K36</f>
        <v>0</v>
      </c>
      <c r="E84" s="40"/>
      <c r="F84" s="40"/>
      <c r="G84" s="40"/>
      <c r="H84" s="40"/>
      <c r="I84" s="40"/>
      <c r="J84" s="40"/>
      <c r="K84" s="313">
        <f>SUM(D84:J84)</f>
        <v>0</v>
      </c>
    </row>
    <row r="85" spans="2:12" x14ac:dyDescent="0.25">
      <c r="B85" s="98"/>
      <c r="C85" s="278"/>
      <c r="D85" s="438"/>
      <c r="E85" s="40"/>
      <c r="F85" s="98"/>
      <c r="G85" s="98"/>
      <c r="H85" s="98"/>
      <c r="I85" s="98"/>
      <c r="J85" s="98"/>
      <c r="K85" s="56"/>
    </row>
    <row r="86" spans="2:12" x14ac:dyDescent="0.25">
      <c r="B86" s="34">
        <v>3000</v>
      </c>
      <c r="C86" s="34" t="s">
        <v>489</v>
      </c>
      <c r="D86" s="444">
        <f>SUM(D87:D89)</f>
        <v>0</v>
      </c>
      <c r="E86" s="63">
        <f t="shared" ref="E86:J86" si="26">SUM(E87:E89)</f>
        <v>0</v>
      </c>
      <c r="F86" s="63">
        <f t="shared" si="26"/>
        <v>0</v>
      </c>
      <c r="G86" s="63">
        <f t="shared" si="26"/>
        <v>8133639.9199999999</v>
      </c>
      <c r="H86" s="63">
        <f t="shared" si="26"/>
        <v>0</v>
      </c>
      <c r="I86" s="63">
        <f t="shared" si="26"/>
        <v>0</v>
      </c>
      <c r="J86" s="63">
        <f t="shared" si="26"/>
        <v>0</v>
      </c>
      <c r="K86" s="63">
        <f>SUM(K87:K89)</f>
        <v>8133639.9199999999</v>
      </c>
    </row>
    <row r="87" spans="2:12" x14ac:dyDescent="0.25">
      <c r="B87" s="98">
        <v>3001</v>
      </c>
      <c r="C87" s="42" t="s">
        <v>490</v>
      </c>
      <c r="D87" s="341">
        <f>K39</f>
        <v>0</v>
      </c>
      <c r="E87" s="40">
        <f>SUMIF('CTH BUMDES'!$B$60:$B$62,B87,'CTH BUMDES'!$G$60:$G$62)</f>
        <v>0</v>
      </c>
      <c r="F87" s="40">
        <f>SUMIF('CTH BUMDES'!$B$70:$B$72,B87,'CTH BUMDES'!$G$70:$G$72)</f>
        <v>0</v>
      </c>
      <c r="G87" s="40">
        <f>SUMIF('CTH BUMDES'!$B$80:$B$92,B87,'CTH BUMDES'!$G$80:$G$92)</f>
        <v>3128015</v>
      </c>
      <c r="H87" s="40">
        <f>SUMIF('CTH BUMDES'!$B$100:$B$102,B87,'CTH BUMDES'!$G$100:$G$102)</f>
        <v>0</v>
      </c>
      <c r="I87" s="40">
        <f>SUMIF('CTH BUMDES'!$B$110:$B$113,B87,'CTH BUMDES'!$G$110:$G$113)</f>
        <v>0</v>
      </c>
      <c r="J87" s="40">
        <f>SUMIF('CTH BUMDES'!$B$121:$B$129,B87,'CTH BUMDES'!$G$121:$G$129)</f>
        <v>0</v>
      </c>
      <c r="K87" s="41">
        <f>SUM(D87:J87)</f>
        <v>3128015</v>
      </c>
    </row>
    <row r="88" spans="2:12" x14ac:dyDescent="0.25">
      <c r="B88" s="98">
        <v>3002</v>
      </c>
      <c r="C88" s="42" t="s">
        <v>491</v>
      </c>
      <c r="D88" s="341">
        <f>K40</f>
        <v>0</v>
      </c>
      <c r="E88" s="40">
        <f>SUMIF('CTH BUMDES'!$B$60:$B$62,B88,'CTH BUMDES'!$G$60:$G$62)</f>
        <v>0</v>
      </c>
      <c r="F88" s="40">
        <f>SUMIF('CTH BUMDES'!$B$70:$B$72,B88,'CTH BUMDES'!$G$70:$G$72)</f>
        <v>0</v>
      </c>
      <c r="G88" s="40">
        <f>SUMIF('CTH BUMDES'!$B$80:$B$92,B88,'CTH BUMDES'!$G$80:$G$92)</f>
        <v>3754424.92</v>
      </c>
      <c r="H88" s="40">
        <f>SUMIF('CTH BUMDES'!$B$100:$B$102,B88,'CTH BUMDES'!$G$100:$G$102)</f>
        <v>0</v>
      </c>
      <c r="I88" s="40">
        <f>SUMIF('CTH BUMDES'!$B$110:$B$113,B88,'CTH BUMDES'!$G$110:$G$113)</f>
        <v>0</v>
      </c>
      <c r="J88" s="40">
        <f>SUMIF('CTH BUMDES'!$B$121:$B$129,B88,'CTH BUMDES'!$G$121:$G$129)</f>
        <v>0</v>
      </c>
      <c r="K88" s="41">
        <f>SUM(D88:J88)</f>
        <v>3754424.92</v>
      </c>
      <c r="L88" s="342"/>
    </row>
    <row r="89" spans="2:12" x14ac:dyDescent="0.25">
      <c r="B89" s="98">
        <v>3003</v>
      </c>
      <c r="C89" s="42" t="s">
        <v>492</v>
      </c>
      <c r="D89" s="341">
        <f>K41</f>
        <v>0</v>
      </c>
      <c r="E89" s="40">
        <f>SUMIF('CTH BUMDES'!$B$60:$B$62,B89,'CTH BUMDES'!$G$60:$G$62)</f>
        <v>0</v>
      </c>
      <c r="F89" s="40">
        <f>SUMIF('CTH BUMDES'!$B$70:$B$72,B89,'CTH BUMDES'!$G$70:$G$72)</f>
        <v>0</v>
      </c>
      <c r="G89" s="40">
        <f>SUMIF('CTH BUMDES'!$B$80:$B$92,B89,'CTH BUMDES'!$G$80:$G$92)</f>
        <v>1251200</v>
      </c>
      <c r="H89" s="40">
        <f>SUMIF('CTH BUMDES'!$B$100:$B$102,B89,'CTH BUMDES'!$G$100:$G$102)</f>
        <v>0</v>
      </c>
      <c r="I89" s="40">
        <f>SUMIF('CTH BUMDES'!$B$110:$B$113,B89,'CTH BUMDES'!$G$110:$G$113)</f>
        <v>0</v>
      </c>
      <c r="J89" s="40">
        <f>SUMIF('CTH BUMDES'!$B$121:$B$129,B89,'CTH BUMDES'!$G$121:$G$129)</f>
        <v>0</v>
      </c>
      <c r="K89" s="41">
        <f>SUM(D89:J89)</f>
        <v>1251200</v>
      </c>
    </row>
    <row r="90" spans="2:12" x14ac:dyDescent="0.25">
      <c r="B90" s="98"/>
      <c r="C90" s="42"/>
      <c r="D90" s="341">
        <f>K42</f>
        <v>0</v>
      </c>
      <c r="E90" s="40"/>
      <c r="F90" s="40"/>
      <c r="G90" s="40"/>
      <c r="H90" s="40"/>
      <c r="I90" s="40"/>
      <c r="J90" s="40"/>
      <c r="K90" s="56"/>
    </row>
    <row r="91" spans="2:12" s="367" customFormat="1" x14ac:dyDescent="0.25">
      <c r="B91" s="34">
        <v>4000</v>
      </c>
      <c r="C91" s="370" t="s">
        <v>741</v>
      </c>
      <c r="D91" s="371">
        <f>SUM(D92)</f>
        <v>0</v>
      </c>
      <c r="E91" s="371">
        <f t="shared" ref="E91:J91" si="27">SUM(E92)</f>
        <v>0</v>
      </c>
      <c r="F91" s="371">
        <f t="shared" si="27"/>
        <v>0</v>
      </c>
      <c r="G91" s="371">
        <f t="shared" si="27"/>
        <v>0</v>
      </c>
      <c r="H91" s="371">
        <f t="shared" si="27"/>
        <v>0</v>
      </c>
      <c r="I91" s="371">
        <f t="shared" si="27"/>
        <v>0</v>
      </c>
      <c r="J91" s="371">
        <f t="shared" si="27"/>
        <v>0</v>
      </c>
      <c r="K91" s="371">
        <f>SUM(K92)</f>
        <v>0</v>
      </c>
    </row>
    <row r="92" spans="2:12" s="367" customFormat="1" x14ac:dyDescent="0.25">
      <c r="B92" s="98">
        <v>4001</v>
      </c>
      <c r="C92" s="42" t="s">
        <v>742</v>
      </c>
      <c r="D92" s="371">
        <f>K43</f>
        <v>0</v>
      </c>
      <c r="E92" s="40">
        <f>SUMIF('CTH BUMDES'!$B$60:$B$62,B92,'CTH BUMDES'!$G$60:$G$62)</f>
        <v>0</v>
      </c>
      <c r="F92" s="40">
        <f>SUMIF('CTH BUMDES'!$B$70:$B$72,B92,'CTH BUMDES'!$G$70:$G$72)</f>
        <v>0</v>
      </c>
      <c r="G92" s="40">
        <f>SUMIF('CTH BUMDES'!$B$80:$B$92,B92,'CTH BUMDES'!$G$80:$G$92)</f>
        <v>0</v>
      </c>
      <c r="H92" s="40">
        <f>SUMIF('CTH BUMDES'!$B$100:$B$102,B92,'CTH BUMDES'!$G$100:$G$102)</f>
        <v>0</v>
      </c>
      <c r="I92" s="40">
        <f>SUMIF('CTH BUMDES'!$B$110:$B$113,B92,'CTH BUMDES'!$G$110:$G$113)</f>
        <v>0</v>
      </c>
      <c r="J92" s="40">
        <f>SUMIF('CTH BUMDES'!$B$121:$B$129,B92,'CTH BUMDES'!$G$121:$G$129)</f>
        <v>0</v>
      </c>
      <c r="K92" s="41">
        <f>SUM(D92:J92)</f>
        <v>0</v>
      </c>
    </row>
    <row r="93" spans="2:12" ht="15.75" thickBot="1" x14ac:dyDescent="0.3">
      <c r="B93" s="98"/>
      <c r="C93" s="42"/>
      <c r="D93" s="39"/>
      <c r="E93" s="40">
        <f>SUMIF('CTH BUMDES'!$B$60:$B$62,B93,'CTH BUMDES'!$G$60:$G$62)</f>
        <v>0</v>
      </c>
      <c r="F93" s="40">
        <f>SUMIF('CTH BUMDES'!$B$70:$B$72,B93,'CTH BUMDES'!$G$70:$G$72)</f>
        <v>0</v>
      </c>
      <c r="G93" s="40">
        <f>SUMIF('CTH BUMDES'!$B$80:$B$92,B93,'CTH BUMDES'!$G$80:$G$92)</f>
        <v>0</v>
      </c>
      <c r="H93" s="40">
        <f>SUMIF('CTH BUMDES'!$B$100:$B$102,B93,'CTH BUMDES'!$G$100:$G$102)</f>
        <v>0</v>
      </c>
      <c r="I93" s="40">
        <f>SUMIF('CTH BUMDES'!$B$110:$B$113,B93,'CTH BUMDES'!$G$110:$G$113)</f>
        <v>0</v>
      </c>
      <c r="J93" s="40">
        <f>SUMIF('CTH BUMDES'!$B$121:$B$129,B93,'CTH BUMDES'!$G$121:$G$129)</f>
        <v>0</v>
      </c>
      <c r="K93" s="41">
        <f t="shared" ref="K93" si="28">SUM(D93:J93)</f>
        <v>0</v>
      </c>
    </row>
    <row r="94" spans="2:12" x14ac:dyDescent="0.25">
      <c r="B94" s="334"/>
      <c r="C94" s="334" t="s">
        <v>5</v>
      </c>
      <c r="D94" s="445">
        <f>D86+D69+D82+D91</f>
        <v>600000</v>
      </c>
      <c r="E94" s="445">
        <f t="shared" ref="E94:J94" si="29">E86+E69+E82+E91</f>
        <v>0</v>
      </c>
      <c r="F94" s="445">
        <f t="shared" si="29"/>
        <v>0</v>
      </c>
      <c r="G94" s="445">
        <f t="shared" si="29"/>
        <v>8835639.9199999999</v>
      </c>
      <c r="H94" s="445">
        <f t="shared" si="29"/>
        <v>0</v>
      </c>
      <c r="I94" s="445">
        <f t="shared" si="29"/>
        <v>0</v>
      </c>
      <c r="J94" s="445">
        <f t="shared" si="29"/>
        <v>400000</v>
      </c>
      <c r="K94" s="445">
        <f>K86+K69+K82+K91</f>
        <v>9835639.9199999999</v>
      </c>
    </row>
    <row r="95" spans="2:12" x14ac:dyDescent="0.25">
      <c r="B95" s="336"/>
      <c r="C95" s="336" t="s">
        <v>100</v>
      </c>
      <c r="D95" s="446">
        <f>D67-D94</f>
        <v>-600000</v>
      </c>
      <c r="E95" s="337">
        <f t="shared" ref="E95:K95" si="30">E67-E94</f>
        <v>0</v>
      </c>
      <c r="F95" s="337">
        <f t="shared" si="30"/>
        <v>0</v>
      </c>
      <c r="G95" s="337">
        <f t="shared" si="30"/>
        <v>-8835639.9199999999</v>
      </c>
      <c r="H95" s="337">
        <f t="shared" si="30"/>
        <v>0</v>
      </c>
      <c r="I95" s="337">
        <f t="shared" si="30"/>
        <v>0</v>
      </c>
      <c r="J95" s="337">
        <f t="shared" si="30"/>
        <v>34653150</v>
      </c>
      <c r="K95" s="337">
        <f t="shared" si="30"/>
        <v>241917510.08000001</v>
      </c>
    </row>
    <row r="96" spans="2:12" s="333" customFormat="1" x14ac:dyDescent="0.25">
      <c r="B96" s="331"/>
      <c r="C96" s="331"/>
      <c r="D96" s="447"/>
      <c r="E96" s="332"/>
      <c r="F96" s="332"/>
      <c r="G96" s="332"/>
      <c r="H96" s="332"/>
      <c r="I96" s="332"/>
      <c r="J96" s="332">
        <f>'CTH BUMDES'!I130</f>
        <v>8400000</v>
      </c>
      <c r="K96" s="332"/>
    </row>
    <row r="97" spans="2:12" s="333" customFormat="1" x14ac:dyDescent="0.25">
      <c r="B97" s="331"/>
      <c r="C97" s="331"/>
      <c r="D97" s="447"/>
      <c r="E97" s="447"/>
      <c r="F97" s="447"/>
      <c r="G97" s="447"/>
      <c r="H97" s="447"/>
      <c r="I97" s="447"/>
      <c r="J97" s="447"/>
      <c r="K97" s="332"/>
    </row>
    <row r="98" spans="2:12" s="333" customFormat="1" x14ac:dyDescent="0.25">
      <c r="B98" s="356"/>
      <c r="C98" s="357"/>
      <c r="D98" s="448"/>
      <c r="E98" s="574"/>
      <c r="F98" s="359"/>
      <c r="G98" s="332"/>
      <c r="H98" s="332"/>
      <c r="I98" s="332"/>
      <c r="J98" s="332"/>
      <c r="K98" s="332"/>
    </row>
    <row r="99" spans="2:12" x14ac:dyDescent="0.25">
      <c r="B99" s="285"/>
      <c r="C99" s="380" t="s">
        <v>532</v>
      </c>
      <c r="D99" s="380"/>
      <c r="E99" s="574">
        <v>52884578.82</v>
      </c>
      <c r="F99" s="574"/>
      <c r="G99" s="286"/>
      <c r="H99" s="286"/>
      <c r="I99" s="286"/>
      <c r="J99" s="286"/>
      <c r="K99" s="354"/>
      <c r="L99" s="286"/>
    </row>
    <row r="100" spans="2:12" x14ac:dyDescent="0.25">
      <c r="B100" s="285"/>
      <c r="C100" s="344" t="s">
        <v>90</v>
      </c>
      <c r="D100" s="380"/>
      <c r="E100" s="458"/>
      <c r="F100" s="383"/>
      <c r="G100" s="286"/>
      <c r="H100" s="458"/>
      <c r="I100" s="286"/>
      <c r="J100" s="286"/>
      <c r="K100" s="354"/>
      <c r="L100" s="286"/>
    </row>
    <row r="101" spans="2:12" x14ac:dyDescent="0.25">
      <c r="B101" s="285"/>
      <c r="C101" s="380" t="s">
        <v>910</v>
      </c>
      <c r="D101" s="380"/>
      <c r="E101" s="458">
        <f>K60</f>
        <v>216700000</v>
      </c>
      <c r="F101" s="383"/>
      <c r="G101" s="286"/>
      <c r="H101" s="458"/>
      <c r="I101" s="286"/>
      <c r="J101" s="286"/>
      <c r="K101" s="354"/>
      <c r="L101" s="286"/>
    </row>
    <row r="102" spans="2:12" x14ac:dyDescent="0.25">
      <c r="B102" s="285"/>
      <c r="C102" s="381" t="s">
        <v>911</v>
      </c>
      <c r="D102" s="380"/>
      <c r="E102" s="458">
        <f>K62</f>
        <v>35053150</v>
      </c>
      <c r="F102" s="383"/>
      <c r="G102" s="286"/>
      <c r="H102" s="458"/>
      <c r="I102" s="286"/>
      <c r="J102" s="286"/>
      <c r="K102" s="354"/>
      <c r="L102" s="286"/>
    </row>
    <row r="103" spans="2:12" x14ac:dyDescent="0.25">
      <c r="B103" s="285"/>
      <c r="C103" s="344"/>
      <c r="D103" s="380"/>
      <c r="E103" s="458"/>
      <c r="F103" s="360"/>
      <c r="G103" s="286"/>
      <c r="H103" s="458"/>
      <c r="I103" s="286"/>
      <c r="J103" s="286"/>
      <c r="K103" s="354"/>
      <c r="L103" s="286"/>
    </row>
    <row r="104" spans="2:12" x14ac:dyDescent="0.25">
      <c r="B104" s="285"/>
      <c r="C104" s="347" t="s">
        <v>93</v>
      </c>
      <c r="D104" s="449"/>
      <c r="E104" s="462">
        <f>SUM(E99:E103)</f>
        <v>304637728.81999999</v>
      </c>
      <c r="F104" s="360"/>
      <c r="G104" s="286"/>
      <c r="H104" s="286"/>
      <c r="I104" s="286"/>
      <c r="J104" s="286"/>
      <c r="K104" s="354"/>
      <c r="L104" s="286"/>
    </row>
    <row r="105" spans="2:12" x14ac:dyDescent="0.25">
      <c r="B105" s="285"/>
      <c r="C105" s="286"/>
      <c r="D105" s="380"/>
      <c r="E105" s="458"/>
      <c r="F105" s="360"/>
      <c r="G105" s="286"/>
      <c r="H105" s="345"/>
      <c r="I105" s="286"/>
      <c r="J105" s="286"/>
      <c r="K105" s="354"/>
      <c r="L105" s="286"/>
    </row>
    <row r="106" spans="2:12" x14ac:dyDescent="0.25">
      <c r="B106" s="285"/>
      <c r="C106" s="363" t="s">
        <v>448</v>
      </c>
      <c r="D106" s="380"/>
      <c r="E106" s="458"/>
      <c r="F106" s="360"/>
      <c r="G106" s="286"/>
      <c r="H106" s="286"/>
      <c r="I106" s="286"/>
      <c r="J106" s="286"/>
      <c r="K106" s="354"/>
      <c r="L106" s="286"/>
    </row>
    <row r="107" spans="2:12" x14ac:dyDescent="0.25">
      <c r="B107" s="285"/>
      <c r="C107" s="286"/>
      <c r="D107" s="380"/>
      <c r="E107" s="458"/>
      <c r="F107" s="360"/>
      <c r="G107" s="286"/>
      <c r="H107" s="286"/>
      <c r="I107" s="286"/>
      <c r="J107" s="286"/>
      <c r="K107" s="354"/>
      <c r="L107" s="286"/>
    </row>
    <row r="108" spans="2:12" x14ac:dyDescent="0.25">
      <c r="B108" s="285"/>
      <c r="C108" s="373" t="s">
        <v>449</v>
      </c>
      <c r="D108" s="380"/>
      <c r="E108" s="458">
        <f>K69</f>
        <v>1702000</v>
      </c>
      <c r="F108" s="360"/>
      <c r="G108" s="286"/>
      <c r="H108" s="286"/>
      <c r="I108" s="286"/>
      <c r="J108" s="286"/>
      <c r="K108" s="354"/>
      <c r="L108" s="286"/>
    </row>
    <row r="109" spans="2:12" x14ac:dyDescent="0.25">
      <c r="B109" s="285"/>
      <c r="C109" s="374" t="s">
        <v>450</v>
      </c>
      <c r="D109" s="290"/>
      <c r="E109" s="458">
        <f>K82</f>
        <v>0</v>
      </c>
      <c r="F109" s="361"/>
      <c r="G109" s="286"/>
      <c r="H109" s="286"/>
      <c r="I109" s="286"/>
      <c r="J109" s="286"/>
      <c r="K109" s="354"/>
      <c r="L109" s="286"/>
    </row>
    <row r="110" spans="2:12" x14ac:dyDescent="0.25">
      <c r="B110" s="285"/>
      <c r="C110" s="376" t="s">
        <v>451</v>
      </c>
      <c r="D110" s="380"/>
      <c r="E110" s="458">
        <f>K86</f>
        <v>8133639.9199999999</v>
      </c>
      <c r="F110" s="360"/>
      <c r="G110" s="286"/>
      <c r="H110" s="286"/>
      <c r="I110" s="286"/>
      <c r="J110" s="286"/>
      <c r="K110" s="354"/>
      <c r="L110" s="286"/>
    </row>
    <row r="111" spans="2:12" x14ac:dyDescent="0.25">
      <c r="B111" s="285"/>
      <c r="C111" s="376" t="s">
        <v>679</v>
      </c>
      <c r="D111" s="380"/>
      <c r="E111" s="458">
        <f>K91</f>
        <v>0</v>
      </c>
      <c r="F111" s="360"/>
      <c r="G111" s="286"/>
      <c r="H111" s="286"/>
      <c r="I111" s="286"/>
      <c r="J111" s="286"/>
      <c r="K111" s="354"/>
      <c r="L111" s="286"/>
    </row>
    <row r="112" spans="2:12" x14ac:dyDescent="0.25">
      <c r="B112" s="285"/>
      <c r="C112" s="347" t="s">
        <v>93</v>
      </c>
      <c r="D112" s="449"/>
      <c r="E112" s="462">
        <f>SUM(E108:E111)</f>
        <v>9835639.9199999999</v>
      </c>
      <c r="F112" s="360"/>
      <c r="G112" s="286"/>
      <c r="H112" s="286"/>
      <c r="I112" s="286"/>
      <c r="J112" s="286"/>
      <c r="K112" s="354"/>
      <c r="L112" s="286"/>
    </row>
    <row r="113" spans="2:13" x14ac:dyDescent="0.25">
      <c r="B113" s="285"/>
      <c r="C113" s="286"/>
      <c r="D113" s="380"/>
      <c r="E113" s="458"/>
      <c r="F113" s="286"/>
      <c r="G113" s="285"/>
      <c r="H113" s="286"/>
      <c r="I113" s="286"/>
      <c r="J113" s="286"/>
      <c r="K113" s="354"/>
      <c r="L113" s="286"/>
    </row>
    <row r="114" spans="2:13" x14ac:dyDescent="0.25">
      <c r="B114" s="285"/>
      <c r="C114" s="286" t="s">
        <v>107</v>
      </c>
      <c r="D114" s="380"/>
      <c r="E114" s="458">
        <f>BANK!C23</f>
        <v>379175.86</v>
      </c>
      <c r="F114" s="286"/>
      <c r="G114" s="285"/>
      <c r="H114" s="354"/>
      <c r="I114" s="286"/>
      <c r="K114"/>
    </row>
    <row r="115" spans="2:13" x14ac:dyDescent="0.25">
      <c r="B115" s="285"/>
      <c r="C115" s="286" t="s">
        <v>238</v>
      </c>
      <c r="D115" s="380"/>
      <c r="E115" s="458">
        <f>BANK!D23+BANK!E23</f>
        <v>130833.758</v>
      </c>
      <c r="F115" s="286"/>
      <c r="G115" s="285"/>
      <c r="H115" s="354"/>
      <c r="I115" s="286"/>
      <c r="K115"/>
    </row>
    <row r="116" spans="2:13" x14ac:dyDescent="0.25">
      <c r="B116" s="285"/>
      <c r="C116" s="382" t="s">
        <v>615</v>
      </c>
      <c r="D116" s="449"/>
      <c r="E116" s="933">
        <f>E114-E115</f>
        <v>248342.10199999998</v>
      </c>
      <c r="F116" s="286"/>
      <c r="G116" s="285"/>
      <c r="H116" s="354"/>
      <c r="I116" s="286"/>
      <c r="K116"/>
    </row>
    <row r="117" spans="2:13" ht="15.75" thickBot="1" x14ac:dyDescent="0.3">
      <c r="B117" s="285"/>
      <c r="C117" s="381" t="s">
        <v>452</v>
      </c>
      <c r="D117" s="380"/>
      <c r="E117" s="934">
        <f>(E104-E112)+E116</f>
        <v>295050431.00199997</v>
      </c>
      <c r="F117" s="345"/>
      <c r="G117" s="285"/>
      <c r="H117" s="286"/>
      <c r="I117" s="286"/>
      <c r="J117" s="286"/>
      <c r="K117" s="354"/>
      <c r="L117" s="286"/>
    </row>
    <row r="118" spans="2:13" ht="15.75" thickTop="1" x14ac:dyDescent="0.25">
      <c r="B118" s="285"/>
      <c r="C118" s="347"/>
      <c r="D118" s="449"/>
      <c r="E118" s="458"/>
      <c r="F118" s="286"/>
      <c r="G118" s="285"/>
      <c r="H118" s="286"/>
      <c r="I118" s="286"/>
      <c r="J118" s="286"/>
      <c r="K118" s="354"/>
      <c r="L118" s="286"/>
    </row>
    <row r="119" spans="2:13" x14ac:dyDescent="0.25">
      <c r="B119" s="285"/>
      <c r="C119" s="286" t="s">
        <v>0</v>
      </c>
      <c r="D119" s="380"/>
      <c r="E119" s="458">
        <f>'CTH BUMDES'!H132</f>
        <v>51519147.729999997</v>
      </c>
      <c r="F119" s="345"/>
      <c r="G119" s="285"/>
      <c r="H119" s="354"/>
      <c r="I119" s="286"/>
      <c r="K119"/>
    </row>
    <row r="120" spans="2:13" x14ac:dyDescent="0.25">
      <c r="B120" s="285"/>
      <c r="C120" s="286" t="s">
        <v>1</v>
      </c>
      <c r="D120" s="380"/>
      <c r="E120" s="458">
        <f>'CTH BUMDES'!K132+(BANK!C23-BANK!D23-BANK!E23)</f>
        <v>243531283.27200001</v>
      </c>
      <c r="F120" s="345"/>
      <c r="G120" s="285"/>
      <c r="H120" s="354"/>
      <c r="I120" s="286"/>
      <c r="K120"/>
    </row>
    <row r="121" spans="2:13" ht="15.75" thickBot="1" x14ac:dyDescent="0.3">
      <c r="B121" s="285"/>
      <c r="C121" s="286"/>
      <c r="D121" s="380"/>
      <c r="E121" s="463">
        <f>SUM(E119:E120)</f>
        <v>295050431.00200003</v>
      </c>
      <c r="F121" s="345">
        <f>'CTH BUMDES'!K133</f>
        <v>294802088.90000004</v>
      </c>
      <c r="G121" s="285"/>
      <c r="H121" s="354"/>
      <c r="I121" s="286"/>
      <c r="K121"/>
    </row>
    <row r="122" spans="2:13" ht="15.75" thickTop="1" x14ac:dyDescent="0.25">
      <c r="B122" s="285"/>
      <c r="C122" s="286"/>
      <c r="D122" s="380"/>
      <c r="E122" s="935">
        <f>E121-E117</f>
        <v>0</v>
      </c>
      <c r="F122" s="345">
        <f>E121-F121</f>
        <v>248342.10199999809</v>
      </c>
      <c r="G122" s="285"/>
      <c r="H122" s="286"/>
      <c r="I122" s="286"/>
      <c r="J122" s="286"/>
      <c r="K122" s="286"/>
      <c r="L122" s="354"/>
      <c r="M122" s="286"/>
    </row>
    <row r="123" spans="2:13" x14ac:dyDescent="0.25">
      <c r="B123" s="285"/>
      <c r="C123" s="286"/>
      <c r="D123" s="380"/>
      <c r="E123" s="286"/>
      <c r="F123" s="360"/>
      <c r="G123" s="286"/>
      <c r="H123" s="286"/>
      <c r="I123" s="286"/>
      <c r="J123" s="286"/>
      <c r="K123" s="354"/>
      <c r="L123" s="286"/>
    </row>
    <row r="124" spans="2:13" x14ac:dyDescent="0.25">
      <c r="B124" s="285"/>
      <c r="C124" s="347" t="s">
        <v>127</v>
      </c>
      <c r="D124" s="380" t="s">
        <v>453</v>
      </c>
      <c r="E124" s="286"/>
      <c r="F124" s="360"/>
      <c r="G124" s="286"/>
      <c r="H124" s="286"/>
      <c r="I124" s="286"/>
      <c r="J124" s="286"/>
      <c r="K124" s="354"/>
      <c r="L124" s="286"/>
    </row>
    <row r="125" spans="2:13" x14ac:dyDescent="0.25">
      <c r="B125" s="285"/>
      <c r="C125" s="381" t="s">
        <v>534</v>
      </c>
      <c r="D125" s="380" t="s">
        <v>535</v>
      </c>
      <c r="E125" s="286"/>
      <c r="F125" s="360"/>
      <c r="G125" s="286"/>
      <c r="H125" s="286"/>
      <c r="I125" s="286"/>
      <c r="J125" s="286"/>
      <c r="K125" s="354"/>
      <c r="L125" s="286"/>
    </row>
    <row r="126" spans="2:13" x14ac:dyDescent="0.25">
      <c r="B126" s="285"/>
      <c r="C126" s="286"/>
      <c r="D126" s="380"/>
      <c r="E126" s="286"/>
      <c r="F126" s="360"/>
      <c r="G126" s="286"/>
      <c r="H126" s="286"/>
      <c r="I126" s="286"/>
      <c r="J126" s="286"/>
      <c r="K126" s="354"/>
      <c r="L126" s="286"/>
    </row>
    <row r="127" spans="2:13" x14ac:dyDescent="0.25">
      <c r="B127" s="285"/>
      <c r="C127" s="290"/>
      <c r="D127" s="290"/>
      <c r="E127" s="290"/>
      <c r="F127" s="360"/>
      <c r="G127" s="286"/>
      <c r="H127" s="286"/>
      <c r="I127" s="286"/>
      <c r="J127" s="286"/>
      <c r="K127" s="354"/>
      <c r="L127" s="286"/>
    </row>
    <row r="128" spans="2:13" s="286" customFormat="1" x14ac:dyDescent="0.25">
      <c r="B128" s="285"/>
      <c r="D128" s="380"/>
      <c r="F128" s="360"/>
      <c r="K128" s="354"/>
    </row>
    <row r="129" spans="2:11" s="286" customFormat="1" x14ac:dyDescent="0.25">
      <c r="B129" s="291"/>
      <c r="C129" s="583" t="str">
        <f>NERACA!I39</f>
        <v>DODIK SUSANTO, S.Fil.I</v>
      </c>
      <c r="D129" s="584" t="str">
        <f>NERACA!J39</f>
        <v>MAMIK KURNIAWATI</v>
      </c>
      <c r="E129" s="292"/>
      <c r="F129" s="362"/>
      <c r="K129" s="354"/>
    </row>
  </sheetData>
  <mergeCells count="8">
    <mergeCell ref="B7:B8"/>
    <mergeCell ref="C7:C8"/>
    <mergeCell ref="E7:J7"/>
    <mergeCell ref="K7:K8"/>
    <mergeCell ref="B56:B57"/>
    <mergeCell ref="C56:C57"/>
    <mergeCell ref="E56:J56"/>
    <mergeCell ref="K56:K57"/>
  </mergeCells>
  <printOptions horizontalCentered="1"/>
  <pageMargins left="0.15" right="0.25" top="0.65" bottom="0.65" header="0.3" footer="0.3"/>
  <pageSetup paperSize="9" scale="75" fitToHeight="0" orientation="landscape" r:id="rId1"/>
  <rowBreaks count="2" manualBreakCount="2">
    <brk id="47" max="16383" man="1"/>
    <brk id="95" max="10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9"/>
  <sheetViews>
    <sheetView view="pageBreakPreview" topLeftCell="A132" zoomScale="118" zoomScaleNormal="93" zoomScaleSheetLayoutView="118" workbookViewId="0">
      <selection activeCell="N173" sqref="N173"/>
    </sheetView>
  </sheetViews>
  <sheetFormatPr defaultColWidth="9" defaultRowHeight="15" x14ac:dyDescent="0.25"/>
  <cols>
    <col min="1" max="1" width="6.140625" customWidth="1"/>
    <col min="2" max="2" width="8.5703125" customWidth="1"/>
    <col min="3" max="4" width="19.140625" customWidth="1"/>
    <col min="5" max="5" width="11.85546875" style="552" customWidth="1"/>
    <col min="6" max="6" width="11.28515625" style="1" bestFit="1" customWidth="1"/>
    <col min="7" max="7" width="9.5703125" style="1" bestFit="1" customWidth="1"/>
    <col min="8" max="8" width="11.28515625" style="1" bestFit="1" customWidth="1"/>
    <col min="9" max="9" width="13.85546875" style="1" customWidth="1"/>
    <col min="10" max="10" width="9" hidden="1" customWidth="1"/>
    <col min="11" max="11" width="2.140625" hidden="1" customWidth="1"/>
    <col min="12" max="13" width="11.42578125" style="1" customWidth="1"/>
    <col min="14" max="14" width="12.5703125" style="1" customWidth="1"/>
    <col min="15" max="15" width="12.140625" bestFit="1" customWidth="1"/>
    <col min="16" max="257" width="10" customWidth="1"/>
    <col min="258" max="258" width="9" customWidth="1"/>
  </cols>
  <sheetData>
    <row r="1" spans="1:14" s="26" customFormat="1" ht="18.75" x14ac:dyDescent="0.3">
      <c r="A1" s="26" t="s">
        <v>295</v>
      </c>
      <c r="E1" s="552"/>
      <c r="F1" s="27"/>
      <c r="G1" s="27"/>
      <c r="H1" s="27"/>
      <c r="I1" s="27"/>
      <c r="L1" s="27"/>
      <c r="M1" s="27"/>
      <c r="N1" s="27"/>
    </row>
    <row r="2" spans="1:14" x14ac:dyDescent="0.25">
      <c r="A2" t="s">
        <v>237</v>
      </c>
    </row>
    <row r="3" spans="1:14" x14ac:dyDescent="0.25">
      <c r="A3" s="369" t="s">
        <v>733</v>
      </c>
    </row>
    <row r="4" spans="1:14" s="367" customFormat="1" x14ac:dyDescent="0.25">
      <c r="A4" s="876" t="s">
        <v>8</v>
      </c>
      <c r="B4" s="876" t="s">
        <v>9</v>
      </c>
      <c r="C4" s="876" t="s">
        <v>10</v>
      </c>
      <c r="D4" s="604"/>
      <c r="E4" s="878" t="s">
        <v>716</v>
      </c>
      <c r="F4" s="876" t="s">
        <v>889</v>
      </c>
      <c r="G4" s="876"/>
      <c r="H4" s="876"/>
      <c r="I4" s="876"/>
      <c r="J4" s="876"/>
      <c r="K4" s="876"/>
      <c r="L4" s="877" t="s">
        <v>11</v>
      </c>
      <c r="M4" s="877" t="s">
        <v>12</v>
      </c>
      <c r="N4" s="881" t="s">
        <v>887</v>
      </c>
    </row>
    <row r="5" spans="1:14" s="367" customFormat="1" x14ac:dyDescent="0.25">
      <c r="A5" s="876"/>
      <c r="B5" s="876"/>
      <c r="C5" s="876"/>
      <c r="D5" s="604"/>
      <c r="E5" s="878"/>
      <c r="F5" s="877" t="s">
        <v>16</v>
      </c>
      <c r="G5" s="877"/>
      <c r="H5" s="877" t="s">
        <v>14</v>
      </c>
      <c r="I5" s="877"/>
      <c r="J5" s="877"/>
      <c r="K5" s="877"/>
      <c r="L5" s="877"/>
      <c r="M5" s="877"/>
      <c r="N5" s="881"/>
    </row>
    <row r="6" spans="1:14" s="367" customFormat="1" x14ac:dyDescent="0.25">
      <c r="A6" s="876"/>
      <c r="B6" s="876"/>
      <c r="C6" s="876"/>
      <c r="D6" s="604"/>
      <c r="E6" s="878"/>
      <c r="F6" s="588" t="s">
        <v>11</v>
      </c>
      <c r="G6" s="588" t="s">
        <v>12</v>
      </c>
      <c r="H6" s="588" t="s">
        <v>11</v>
      </c>
      <c r="I6" s="588" t="s">
        <v>12</v>
      </c>
      <c r="J6" s="589" t="s">
        <v>11</v>
      </c>
      <c r="K6" s="589" t="s">
        <v>12</v>
      </c>
      <c r="L6" s="877"/>
      <c r="M6" s="877"/>
      <c r="N6" s="881"/>
    </row>
    <row r="7" spans="1:14" x14ac:dyDescent="0.25">
      <c r="A7" s="559"/>
      <c r="B7" s="559" t="s">
        <v>66</v>
      </c>
      <c r="C7" s="559"/>
      <c r="D7" s="605"/>
      <c r="E7" s="425">
        <v>0</v>
      </c>
      <c r="F7" s="5">
        <f>SUMIF('cth sp'!$Q$9:$Q$107,B7,'cth sp'!$R$9:$R$107)</f>
        <v>0</v>
      </c>
      <c r="G7" s="5">
        <f>SUMIF('cth sp'!$Q$9:$Q$107,B7,'cth sp'!$S$9:$S$107)</f>
        <v>0</v>
      </c>
      <c r="H7" s="5">
        <f>SUMIF('cth sp'!$Q$114:$Q$158,B7,'cth sp'!$R$114:$R$158)</f>
        <v>0</v>
      </c>
      <c r="I7" s="5">
        <f>SUMIF('cth sp'!$Q$114:$Q$158,B7,'cth sp'!$S$114:$S$158)</f>
        <v>0</v>
      </c>
      <c r="J7" s="5">
        <f>SUMIF('cth sp'!$Q$159:$Q$389,B7,'cth sp'!$R$159:$R$389)</f>
        <v>0</v>
      </c>
      <c r="K7" s="5">
        <f>SUMIF('cth sp'!$Q$159:$Q$389,B7,'cth sp'!$S$159:$S$389)</f>
        <v>0</v>
      </c>
      <c r="L7" s="5">
        <f>F7+H7+J7</f>
        <v>0</v>
      </c>
      <c r="M7" s="5">
        <f>G7+I7+K7</f>
        <v>0</v>
      </c>
      <c r="N7" s="5">
        <f t="shared" ref="N7:N38" si="0">E7+L7-M7</f>
        <v>0</v>
      </c>
    </row>
    <row r="8" spans="1:14" s="406" customFormat="1" x14ac:dyDescent="0.25">
      <c r="A8" s="10">
        <v>1</v>
      </c>
      <c r="B8" s="10" t="s">
        <v>241</v>
      </c>
      <c r="C8" s="7" t="s">
        <v>163</v>
      </c>
      <c r="D8" s="7"/>
      <c r="E8" s="590">
        <v>50000</v>
      </c>
      <c r="F8" s="11">
        <f>SUMIF('cth sp'!$Q$9:$Q$107,B8,'cth sp'!$R$9:$R$107)</f>
        <v>0</v>
      </c>
      <c r="G8" s="11">
        <f>SUMIF('cth sp'!$Q$9:$Q$107,B8,'cth sp'!$S$9:$S$107)</f>
        <v>0</v>
      </c>
      <c r="H8" s="11">
        <f>SUMIF('cth sp'!$Q$114:$Q$158,B8,'cth sp'!$R$114:$R$158)</f>
        <v>0</v>
      </c>
      <c r="I8" s="11">
        <f>SUMIF('cth sp'!$Q$114:$Q$158,B8,'cth sp'!$S$114:$S$158)</f>
        <v>0</v>
      </c>
      <c r="J8" s="11">
        <f>SUMIF('cth sp'!$Q$159:$Q$389,B8,'cth sp'!$R$159:$R$389)</f>
        <v>0</v>
      </c>
      <c r="K8" s="11">
        <f>SUMIF('cth sp'!$Q$159:$Q$389,B8,'cth sp'!$S$159:$S$389)</f>
        <v>0</v>
      </c>
      <c r="L8" s="11">
        <f>F8+H8+J8</f>
        <v>0</v>
      </c>
      <c r="M8" s="11">
        <f t="shared" ref="M8:M65" si="1">G8+I8+K8</f>
        <v>0</v>
      </c>
      <c r="N8" s="11">
        <f t="shared" si="0"/>
        <v>50000</v>
      </c>
    </row>
    <row r="9" spans="1:14" s="406" customFormat="1" x14ac:dyDescent="0.25">
      <c r="A9" s="10">
        <v>2</v>
      </c>
      <c r="B9" s="10" t="s">
        <v>242</v>
      </c>
      <c r="C9" s="7" t="s">
        <v>164</v>
      </c>
      <c r="D9" s="7"/>
      <c r="E9" s="590">
        <v>50000</v>
      </c>
      <c r="F9" s="11">
        <f>SUMIF('cth sp'!$Q$9:$Q$107,B9,'cth sp'!$R$9:$R$107)</f>
        <v>0</v>
      </c>
      <c r="G9" s="11">
        <f>SUMIF('cth sp'!$Q$9:$Q$107,B9,'cth sp'!$S$9:$S$107)</f>
        <v>0</v>
      </c>
      <c r="H9" s="11">
        <f>SUMIF('cth sp'!$Q$114:$Q$158,B9,'cth sp'!$R$114:$R$158)</f>
        <v>0</v>
      </c>
      <c r="I9" s="11">
        <f>SUMIF('cth sp'!$Q$114:$Q$158,B9,'cth sp'!$S$114:$S$158)</f>
        <v>0</v>
      </c>
      <c r="J9" s="11">
        <f>SUMIF('cth sp'!$Q$159:$Q$389,B9,'cth sp'!$R$159:$R$389)</f>
        <v>0</v>
      </c>
      <c r="K9" s="11">
        <f>SUMIF('cth sp'!$Q$159:$Q$389,B9,'cth sp'!$S$159:$S$389)</f>
        <v>0</v>
      </c>
      <c r="L9" s="11">
        <f t="shared" ref="L9:L65" si="2">F9+H9+J9</f>
        <v>0</v>
      </c>
      <c r="M9" s="11">
        <f t="shared" si="1"/>
        <v>0</v>
      </c>
      <c r="N9" s="11">
        <f t="shared" si="0"/>
        <v>50000</v>
      </c>
    </row>
    <row r="10" spans="1:14" s="830" customFormat="1" x14ac:dyDescent="0.25">
      <c r="A10" s="832">
        <v>3</v>
      </c>
      <c r="B10" s="824" t="s">
        <v>243</v>
      </c>
      <c r="C10" s="833" t="s">
        <v>165</v>
      </c>
      <c r="D10" s="833"/>
      <c r="E10" s="834">
        <v>0</v>
      </c>
      <c r="F10" s="599">
        <f>SUMIF('cth sp'!$Q$9:$Q$107,B10,'cth sp'!$R$9:$R$107)</f>
        <v>0</v>
      </c>
      <c r="G10" s="599">
        <f>SUMIF('cth sp'!$Q$9:$Q$107,B10,'cth sp'!$S$9:$S$107)</f>
        <v>0</v>
      </c>
      <c r="H10" s="599">
        <f>SUMIF('cth sp'!$Q$114:$Q$158,B10,'cth sp'!$R$114:$R$158)</f>
        <v>0</v>
      </c>
      <c r="I10" s="599"/>
      <c r="J10" s="599">
        <f>SUMIF('cth sp'!$Q$159:$Q$389,B10,'cth sp'!$R$159:$R$389)</f>
        <v>0</v>
      </c>
      <c r="K10" s="599">
        <f>SUMIF('cth sp'!$Q$159:$Q$389,B10,'cth sp'!$S$159:$S$389)</f>
        <v>0</v>
      </c>
      <c r="L10" s="599">
        <f t="shared" si="2"/>
        <v>0</v>
      </c>
      <c r="M10" s="599">
        <f t="shared" si="1"/>
        <v>0</v>
      </c>
      <c r="N10" s="599">
        <f t="shared" si="0"/>
        <v>0</v>
      </c>
    </row>
    <row r="11" spans="1:14" s="406" customFormat="1" x14ac:dyDescent="0.25">
      <c r="A11" s="10">
        <v>4</v>
      </c>
      <c r="B11" s="10" t="s">
        <v>244</v>
      </c>
      <c r="C11" s="7" t="s">
        <v>166</v>
      </c>
      <c r="D11" s="7"/>
      <c r="E11" s="590">
        <v>50000</v>
      </c>
      <c r="F11" s="11">
        <f>SUMIF('cth sp'!$Q$9:$Q$107,B11,'cth sp'!$R$9:$R$107)</f>
        <v>0</v>
      </c>
      <c r="G11" s="11">
        <f>SUMIF('cth sp'!$Q$9:$Q$107,B11,'cth sp'!$S$9:$S$107)</f>
        <v>0</v>
      </c>
      <c r="H11" s="11">
        <f>SUMIF('cth sp'!$Q$114:$Q$158,B11,'cth sp'!$R$114:$R$158)</f>
        <v>0</v>
      </c>
      <c r="I11" s="11">
        <f>SUMIF('cth sp'!$Q$114:$Q$158,B11,'cth sp'!$S$114:$S$158)</f>
        <v>0</v>
      </c>
      <c r="J11" s="11">
        <f>SUMIF('cth sp'!$Q$159:$Q$389,B11,'cth sp'!$R$159:$R$389)</f>
        <v>0</v>
      </c>
      <c r="K11" s="11">
        <f>SUMIF('cth sp'!$Q$159:$Q$389,B11,'cth sp'!$S$159:$S$389)</f>
        <v>0</v>
      </c>
      <c r="L11" s="11">
        <f t="shared" si="2"/>
        <v>0</v>
      </c>
      <c r="M11" s="11">
        <f t="shared" si="1"/>
        <v>0</v>
      </c>
      <c r="N11" s="11">
        <f t="shared" si="0"/>
        <v>50000</v>
      </c>
    </row>
    <row r="12" spans="1:14" s="406" customFormat="1" x14ac:dyDescent="0.25">
      <c r="A12" s="10">
        <v>5</v>
      </c>
      <c r="B12" s="10" t="s">
        <v>245</v>
      </c>
      <c r="C12" s="7" t="s">
        <v>167</v>
      </c>
      <c r="D12" s="7"/>
      <c r="E12" s="590">
        <v>50000</v>
      </c>
      <c r="F12" s="11">
        <f>SUMIF('cth sp'!$Q$9:$Q$107,B12,'cth sp'!$R$9:$R$107)</f>
        <v>0</v>
      </c>
      <c r="G12" s="11">
        <f>SUMIF('cth sp'!$Q$9:$Q$107,B12,'cth sp'!$S$9:$S$107)</f>
        <v>0</v>
      </c>
      <c r="H12" s="11">
        <f>SUMIF('cth sp'!$Q$114:$Q$158,B12,'cth sp'!$R$114:$R$158)</f>
        <v>0</v>
      </c>
      <c r="I12" s="11">
        <f>SUMIF('cth sp'!$Q$114:$Q$158,B12,'cth sp'!$S$114:$S$158)</f>
        <v>0</v>
      </c>
      <c r="J12" s="11">
        <f>SUMIF('cth sp'!$Q$159:$Q$389,B12,'cth sp'!$R$159:$R$389)</f>
        <v>0</v>
      </c>
      <c r="K12" s="11">
        <f>SUMIF('cth sp'!$Q$159:$Q$389,B12,'cth sp'!$S$159:$S$389)</f>
        <v>0</v>
      </c>
      <c r="L12" s="11">
        <f t="shared" si="2"/>
        <v>0</v>
      </c>
      <c r="M12" s="11">
        <f t="shared" si="1"/>
        <v>0</v>
      </c>
      <c r="N12" s="11">
        <f t="shared" si="0"/>
        <v>50000</v>
      </c>
    </row>
    <row r="13" spans="1:14" s="406" customFormat="1" x14ac:dyDescent="0.25">
      <c r="A13" s="10">
        <v>6</v>
      </c>
      <c r="B13" s="10" t="s">
        <v>246</v>
      </c>
      <c r="C13" s="7" t="s">
        <v>168</v>
      </c>
      <c r="D13" s="7"/>
      <c r="E13" s="590">
        <v>50000</v>
      </c>
      <c r="F13" s="11">
        <f>SUMIF('cth sp'!$Q$9:$Q$107,B13,'cth sp'!$R$9:$R$107)</f>
        <v>0</v>
      </c>
      <c r="G13" s="11">
        <f>SUMIF('cth sp'!$Q$9:$Q$107,B13,'cth sp'!$S$9:$S$107)</f>
        <v>0</v>
      </c>
      <c r="H13" s="11">
        <f>SUMIF('cth sp'!$Q$114:$Q$158,B13,'cth sp'!$R$114:$R$158)</f>
        <v>0</v>
      </c>
      <c r="I13" s="11">
        <f>SUMIF('cth sp'!$Q$114:$Q$158,B13,'cth sp'!$S$114:$S$158)</f>
        <v>0</v>
      </c>
      <c r="J13" s="11">
        <f>SUMIF('cth sp'!$Q$159:$Q$389,B13,'cth sp'!$R$159:$R$389)</f>
        <v>0</v>
      </c>
      <c r="K13" s="11">
        <f>SUMIF('cth sp'!$Q$159:$Q$389,B13,'cth sp'!$S$159:$S$389)</f>
        <v>0</v>
      </c>
      <c r="L13" s="11">
        <f t="shared" si="2"/>
        <v>0</v>
      </c>
      <c r="M13" s="11">
        <f t="shared" si="1"/>
        <v>0</v>
      </c>
      <c r="N13" s="11">
        <f t="shared" si="0"/>
        <v>50000</v>
      </c>
    </row>
    <row r="14" spans="1:14" s="406" customFormat="1" x14ac:dyDescent="0.25">
      <c r="A14" s="10">
        <v>7</v>
      </c>
      <c r="B14" s="10" t="s">
        <v>247</v>
      </c>
      <c r="C14" s="7" t="s">
        <v>169</v>
      </c>
      <c r="D14" s="7"/>
      <c r="E14" s="590">
        <v>50000</v>
      </c>
      <c r="F14" s="11">
        <f>SUMIF('cth sp'!$Q$9:$Q$107,B14,'cth sp'!$R$9:$R$107)</f>
        <v>0</v>
      </c>
      <c r="G14" s="11">
        <f>SUMIF('cth sp'!$Q$9:$Q$107,B14,'cth sp'!$S$9:$S$107)</f>
        <v>0</v>
      </c>
      <c r="H14" s="11">
        <f>SUMIF('cth sp'!$Q$114:$Q$158,B14,'cth sp'!$R$114:$R$158)</f>
        <v>0</v>
      </c>
      <c r="I14" s="11">
        <f>SUMIF('cth sp'!$Q$114:$Q$158,B14,'cth sp'!$S$114:$S$158)</f>
        <v>0</v>
      </c>
      <c r="J14" s="11">
        <f>SUMIF('cth sp'!$Q$159:$Q$389,B14,'cth sp'!$R$159:$R$389)</f>
        <v>0</v>
      </c>
      <c r="K14" s="11">
        <f>SUMIF('cth sp'!$Q$159:$Q$389,B14,'cth sp'!$S$159:$S$389)</f>
        <v>0</v>
      </c>
      <c r="L14" s="11">
        <f t="shared" si="2"/>
        <v>0</v>
      </c>
      <c r="M14" s="11">
        <f t="shared" si="1"/>
        <v>0</v>
      </c>
      <c r="N14" s="11">
        <f t="shared" si="0"/>
        <v>50000</v>
      </c>
    </row>
    <row r="15" spans="1:14" s="830" customFormat="1" x14ac:dyDescent="0.25">
      <c r="A15" s="832">
        <v>8</v>
      </c>
      <c r="B15" s="832" t="s">
        <v>248</v>
      </c>
      <c r="C15" s="833" t="s">
        <v>170</v>
      </c>
      <c r="D15" s="833"/>
      <c r="E15" s="834">
        <v>50000</v>
      </c>
      <c r="F15" s="599">
        <f>SUMIF('cth sp'!$Q$9:$Q$107,B15,'cth sp'!$R$9:$R$107)</f>
        <v>0</v>
      </c>
      <c r="G15" s="599">
        <f>SUMIF('cth sp'!$Q$9:$Q$107,B15,'cth sp'!$S$9:$S$107)</f>
        <v>0</v>
      </c>
      <c r="H15" s="599">
        <f>SUMIF('cth sp'!$Q$114:$Q$158,B15,'cth sp'!$R$114:$R$158)</f>
        <v>0</v>
      </c>
      <c r="I15" s="599">
        <f>SUMIF('cth sp'!$Q$114:$Q$158,B15,'cth sp'!$S$114:$S$158)</f>
        <v>50000</v>
      </c>
      <c r="J15" s="599">
        <f>SUMIF('cth sp'!$Q$159:$Q$389,B15,'cth sp'!$R$159:$R$389)</f>
        <v>0</v>
      </c>
      <c r="K15" s="599">
        <f>SUMIF('cth sp'!$Q$159:$Q$389,B15,'cth sp'!$S$159:$S$389)</f>
        <v>0</v>
      </c>
      <c r="L15" s="599">
        <f t="shared" si="2"/>
        <v>0</v>
      </c>
      <c r="M15" s="599">
        <f t="shared" si="1"/>
        <v>50000</v>
      </c>
      <c r="N15" s="599">
        <f t="shared" si="0"/>
        <v>0</v>
      </c>
    </row>
    <row r="16" spans="1:14" s="830" customFormat="1" x14ac:dyDescent="0.25">
      <c r="A16" s="832">
        <v>9</v>
      </c>
      <c r="B16" s="832" t="s">
        <v>249</v>
      </c>
      <c r="C16" s="833" t="s">
        <v>171</v>
      </c>
      <c r="D16" s="833"/>
      <c r="E16" s="834">
        <v>0</v>
      </c>
      <c r="F16" s="599">
        <f>SUMIF('cth sp'!$Q$9:$Q$107,B16,'cth sp'!$R$9:$R$107)</f>
        <v>0</v>
      </c>
      <c r="G16" s="599">
        <f>SUMIF('cth sp'!$Q$9:$Q$107,B16,'cth sp'!$S$9:$S$107)</f>
        <v>0</v>
      </c>
      <c r="H16" s="599">
        <f>SUMIF('cth sp'!$Q$114:$Q$158,B16,'cth sp'!$R$114:$R$158)</f>
        <v>0</v>
      </c>
      <c r="I16" s="599">
        <f>SUMIF('cth sp'!$Q$114:$Q$158,B16,'cth sp'!$S$114:$S$158)</f>
        <v>0</v>
      </c>
      <c r="J16" s="599">
        <f>SUMIF('cth sp'!$Q$159:$Q$389,B16,'cth sp'!$R$159:$R$389)</f>
        <v>0</v>
      </c>
      <c r="K16" s="599">
        <f>SUMIF('cth sp'!$Q$159:$Q$389,B16,'cth sp'!$S$159:$S$389)</f>
        <v>0</v>
      </c>
      <c r="L16" s="599">
        <f t="shared" si="2"/>
        <v>0</v>
      </c>
      <c r="M16" s="599">
        <f t="shared" si="1"/>
        <v>0</v>
      </c>
      <c r="N16" s="599">
        <f t="shared" si="0"/>
        <v>0</v>
      </c>
    </row>
    <row r="17" spans="1:14" s="830" customFormat="1" x14ac:dyDescent="0.25">
      <c r="A17" s="832">
        <v>10</v>
      </c>
      <c r="B17" s="832" t="s">
        <v>250</v>
      </c>
      <c r="C17" s="833" t="s">
        <v>172</v>
      </c>
      <c r="D17" s="833"/>
      <c r="E17" s="834">
        <v>0</v>
      </c>
      <c r="F17" s="599">
        <f>SUMIF('cth sp'!$Q$9:$Q$107,B17,'cth sp'!$R$9:$R$107)</f>
        <v>0</v>
      </c>
      <c r="G17" s="599">
        <f>SUMIF('cth sp'!$Q$9:$Q$107,B17,'cth sp'!$S$9:$S$107)</f>
        <v>0</v>
      </c>
      <c r="H17" s="599">
        <f>SUMIF('cth sp'!$Q$114:$Q$158,B17,'cth sp'!$R$114:$R$158)</f>
        <v>0</v>
      </c>
      <c r="I17" s="599">
        <f>SUMIF('cth sp'!$Q$114:$Q$158,B17,'cth sp'!$S$114:$S$158)</f>
        <v>0</v>
      </c>
      <c r="J17" s="599">
        <f>SUMIF('cth sp'!$Q$159:$Q$389,B17,'cth sp'!$R$159:$R$389)</f>
        <v>0</v>
      </c>
      <c r="K17" s="599">
        <f>SUMIF('cth sp'!$Q$159:$Q$389,B17,'cth sp'!$S$159:$S$389)</f>
        <v>0</v>
      </c>
      <c r="L17" s="599">
        <f t="shared" si="2"/>
        <v>0</v>
      </c>
      <c r="M17" s="599">
        <f t="shared" si="1"/>
        <v>0</v>
      </c>
      <c r="N17" s="599">
        <f t="shared" si="0"/>
        <v>0</v>
      </c>
    </row>
    <row r="18" spans="1:14" s="406" customFormat="1" x14ac:dyDescent="0.25">
      <c r="A18" s="10">
        <v>11</v>
      </c>
      <c r="B18" s="10" t="s">
        <v>251</v>
      </c>
      <c r="C18" s="7" t="s">
        <v>173</v>
      </c>
      <c r="D18" s="7"/>
      <c r="E18" s="590">
        <v>50000</v>
      </c>
      <c r="F18" s="11">
        <f>SUMIF('cth sp'!$Q$9:$Q$107,B18,'cth sp'!$R$9:$R$107)</f>
        <v>0</v>
      </c>
      <c r="G18" s="11">
        <f>SUMIF('cth sp'!$Q$9:$Q$107,B18,'cth sp'!$S$9:$S$107)</f>
        <v>0</v>
      </c>
      <c r="H18" s="11">
        <f>SUMIF('cth sp'!$Q$114:$Q$158,B18,'cth sp'!$R$114:$R$158)</f>
        <v>0</v>
      </c>
      <c r="I18" s="11">
        <f>SUMIF('cth sp'!$Q$114:$Q$158,B18,'cth sp'!$S$114:$S$158)</f>
        <v>0</v>
      </c>
      <c r="J18" s="11">
        <f>SUMIF('cth sp'!$Q$159:$Q$389,B18,'cth sp'!$R$159:$R$389)</f>
        <v>0</v>
      </c>
      <c r="K18" s="11">
        <f>SUMIF('cth sp'!$Q$159:$Q$389,B18,'cth sp'!$S$159:$S$389)</f>
        <v>0</v>
      </c>
      <c r="L18" s="11">
        <f t="shared" si="2"/>
        <v>0</v>
      </c>
      <c r="M18" s="11">
        <f t="shared" si="1"/>
        <v>0</v>
      </c>
      <c r="N18" s="11">
        <f t="shared" si="0"/>
        <v>50000</v>
      </c>
    </row>
    <row r="19" spans="1:14" s="406" customFormat="1" x14ac:dyDescent="0.25">
      <c r="A19" s="10">
        <v>12</v>
      </c>
      <c r="B19" s="10" t="s">
        <v>252</v>
      </c>
      <c r="C19" s="7" t="s">
        <v>174</v>
      </c>
      <c r="D19" s="7"/>
      <c r="E19" s="590">
        <v>50000</v>
      </c>
      <c r="F19" s="11">
        <f>SUMIF('cth sp'!$Q$9:$Q$107,B19,'cth sp'!$R$9:$R$107)</f>
        <v>0</v>
      </c>
      <c r="G19" s="11">
        <f>SUMIF('cth sp'!$Q$9:$Q$107,B19,'cth sp'!$S$9:$S$107)</f>
        <v>0</v>
      </c>
      <c r="H19" s="11">
        <f>SUMIF('cth sp'!$Q$114:$Q$158,B19,'cth sp'!$R$114:$R$158)</f>
        <v>0</v>
      </c>
      <c r="I19" s="11">
        <f>SUMIF('cth sp'!$Q$114:$Q$158,B19,'cth sp'!$S$114:$S$158)</f>
        <v>0</v>
      </c>
      <c r="J19" s="11">
        <f>SUMIF('cth sp'!$Q$159:$Q$389,B19,'cth sp'!$R$159:$R$389)</f>
        <v>0</v>
      </c>
      <c r="K19" s="11">
        <f>SUMIF('cth sp'!$Q$159:$Q$389,B19,'cth sp'!$S$159:$S$389)</f>
        <v>0</v>
      </c>
      <c r="L19" s="11">
        <f t="shared" si="2"/>
        <v>0</v>
      </c>
      <c r="M19" s="11">
        <f t="shared" si="1"/>
        <v>0</v>
      </c>
      <c r="N19" s="11">
        <f t="shared" si="0"/>
        <v>50000</v>
      </c>
    </row>
    <row r="20" spans="1:14" s="830" customFormat="1" x14ac:dyDescent="0.25">
      <c r="A20" s="832">
        <v>13</v>
      </c>
      <c r="B20" s="832" t="s">
        <v>253</v>
      </c>
      <c r="C20" s="833" t="s">
        <v>175</v>
      </c>
      <c r="D20" s="833"/>
      <c r="E20" s="834">
        <v>0</v>
      </c>
      <c r="F20" s="599">
        <f>SUMIF('cth sp'!$Q$9:$Q$107,B20,'cth sp'!$R$9:$R$107)</f>
        <v>0</v>
      </c>
      <c r="G20" s="599">
        <f>SUMIF('cth sp'!$Q$9:$Q$107,B20,'cth sp'!$S$9:$S$107)</f>
        <v>0</v>
      </c>
      <c r="H20" s="599">
        <f>SUMIF('cth sp'!$Q$114:$Q$158,B20,'cth sp'!$R$114:$R$158)</f>
        <v>0</v>
      </c>
      <c r="I20" s="599">
        <f>SUMIF('cth sp'!$Q$114:$Q$158,B20,'cth sp'!$S$114:$S$158)</f>
        <v>0</v>
      </c>
      <c r="J20" s="599">
        <f>SUMIF('cth sp'!$Q$159:$Q$389,B20,'cth sp'!$R$159:$R$389)</f>
        <v>0</v>
      </c>
      <c r="K20" s="599">
        <f>SUMIF('cth sp'!$Q$159:$Q$389,B20,'cth sp'!$S$159:$S$389)</f>
        <v>0</v>
      </c>
      <c r="L20" s="599">
        <f t="shared" si="2"/>
        <v>0</v>
      </c>
      <c r="M20" s="599">
        <f t="shared" si="1"/>
        <v>0</v>
      </c>
      <c r="N20" s="599">
        <f t="shared" si="0"/>
        <v>0</v>
      </c>
    </row>
    <row r="21" spans="1:14" s="406" customFormat="1" x14ac:dyDescent="0.25">
      <c r="A21" s="10">
        <v>14</v>
      </c>
      <c r="B21" s="10" t="s">
        <v>254</v>
      </c>
      <c r="C21" s="7" t="s">
        <v>176</v>
      </c>
      <c r="D21" s="7"/>
      <c r="E21" s="590">
        <v>50000</v>
      </c>
      <c r="F21" s="11">
        <f>SUMIF('cth sp'!$Q$9:$Q$107,B21,'cth sp'!$R$9:$R$107)</f>
        <v>0</v>
      </c>
      <c r="G21" s="11">
        <f>SUMIF('cth sp'!$Q$9:$Q$107,B21,'cth sp'!$S$9:$S$107)</f>
        <v>0</v>
      </c>
      <c r="H21" s="11">
        <f>SUMIF('cth sp'!$Q$114:$Q$158,B21,'cth sp'!$R$114:$R$158)</f>
        <v>0</v>
      </c>
      <c r="I21" s="11">
        <f>SUMIF('cth sp'!$Q$114:$Q$158,B21,'cth sp'!$S$114:$S$158)</f>
        <v>0</v>
      </c>
      <c r="J21" s="11">
        <f>SUMIF('cth sp'!$Q$159:$Q$389,B21,'cth sp'!$R$159:$R$389)</f>
        <v>0</v>
      </c>
      <c r="K21" s="11">
        <f>SUMIF('cth sp'!$Q$159:$Q$389,B21,'cth sp'!$S$159:$S$389)</f>
        <v>0</v>
      </c>
      <c r="L21" s="11">
        <f t="shared" si="2"/>
        <v>0</v>
      </c>
      <c r="M21" s="11">
        <f t="shared" si="1"/>
        <v>0</v>
      </c>
      <c r="N21" s="11">
        <f t="shared" si="0"/>
        <v>50000</v>
      </c>
    </row>
    <row r="22" spans="1:14" s="406" customFormat="1" x14ac:dyDescent="0.25">
      <c r="A22" s="10">
        <v>15</v>
      </c>
      <c r="B22" s="10" t="s">
        <v>255</v>
      </c>
      <c r="C22" s="7" t="s">
        <v>177</v>
      </c>
      <c r="D22" s="7"/>
      <c r="E22" s="590">
        <v>50000</v>
      </c>
      <c r="F22" s="11">
        <f>SUMIF('cth sp'!$Q$9:$Q$107,B22,'cth sp'!$R$9:$R$107)</f>
        <v>0</v>
      </c>
      <c r="G22" s="11">
        <f>SUMIF('cth sp'!$Q$9:$Q$107,B22,'cth sp'!$S$9:$S$107)</f>
        <v>0</v>
      </c>
      <c r="H22" s="11">
        <f>SUMIF('cth sp'!$Q$114:$Q$158,B22,'cth sp'!$R$114:$R$158)</f>
        <v>0</v>
      </c>
      <c r="I22" s="11">
        <f>SUMIF('cth sp'!$Q$114:$Q$158,B22,'cth sp'!$S$114:$S$158)</f>
        <v>0</v>
      </c>
      <c r="J22" s="11">
        <f>SUMIF('cth sp'!$Q$159:$Q$389,B22,'cth sp'!$R$159:$R$389)</f>
        <v>0</v>
      </c>
      <c r="K22" s="11">
        <f>SUMIF('cth sp'!$Q$159:$Q$389,B22,'cth sp'!$S$159:$S$389)</f>
        <v>0</v>
      </c>
      <c r="L22" s="11">
        <f t="shared" si="2"/>
        <v>0</v>
      </c>
      <c r="M22" s="11">
        <f t="shared" si="1"/>
        <v>0</v>
      </c>
      <c r="N22" s="11">
        <f t="shared" si="0"/>
        <v>50000</v>
      </c>
    </row>
    <row r="23" spans="1:14" s="406" customFormat="1" x14ac:dyDescent="0.25">
      <c r="A23" s="10">
        <v>16</v>
      </c>
      <c r="B23" s="10" t="s">
        <v>256</v>
      </c>
      <c r="C23" s="7" t="s">
        <v>178</v>
      </c>
      <c r="D23" s="7"/>
      <c r="E23" s="590">
        <v>50000</v>
      </c>
      <c r="F23" s="11">
        <f>SUMIF('cth sp'!$Q$9:$Q$107,B23,'cth sp'!$R$9:$R$107)</f>
        <v>0</v>
      </c>
      <c r="G23" s="11">
        <f>SUMIF('cth sp'!$Q$9:$Q$107,B23,'cth sp'!$S$9:$S$107)</f>
        <v>0</v>
      </c>
      <c r="H23" s="11">
        <f>SUMIF('cth sp'!$Q$114:$Q$158,B23,'cth sp'!$R$114:$R$158)</f>
        <v>0</v>
      </c>
      <c r="I23" s="11">
        <f>SUMIF('cth sp'!$Q$114:$Q$158,B23,'cth sp'!$S$114:$S$158)</f>
        <v>0</v>
      </c>
      <c r="J23" s="11">
        <f>SUMIF('cth sp'!$Q$159:$Q$389,B23,'cth sp'!$R$159:$R$389)</f>
        <v>0</v>
      </c>
      <c r="K23" s="11">
        <f>SUMIF('cth sp'!$Q$159:$Q$389,B23,'cth sp'!$S$159:$S$389)</f>
        <v>0</v>
      </c>
      <c r="L23" s="11">
        <f t="shared" si="2"/>
        <v>0</v>
      </c>
      <c r="M23" s="11">
        <f t="shared" si="1"/>
        <v>0</v>
      </c>
      <c r="N23" s="11">
        <f t="shared" si="0"/>
        <v>50000</v>
      </c>
    </row>
    <row r="24" spans="1:14" s="406" customFormat="1" x14ac:dyDescent="0.25">
      <c r="A24" s="10">
        <v>17</v>
      </c>
      <c r="B24" s="10" t="s">
        <v>257</v>
      </c>
      <c r="C24" s="7" t="s">
        <v>179</v>
      </c>
      <c r="D24" s="7"/>
      <c r="E24" s="590">
        <v>50000</v>
      </c>
      <c r="F24" s="11">
        <f>SUMIF('cth sp'!$Q$9:$Q$107,B24,'cth sp'!$R$9:$R$107)</f>
        <v>0</v>
      </c>
      <c r="G24" s="11">
        <f>SUMIF('cth sp'!$Q$9:$Q$107,B24,'cth sp'!$S$9:$S$107)</f>
        <v>0</v>
      </c>
      <c r="H24" s="11">
        <f>SUMIF('cth sp'!$Q$114:$Q$158,B24,'cth sp'!$R$114:$R$158)</f>
        <v>0</v>
      </c>
      <c r="I24" s="11">
        <f>SUMIF('cth sp'!$Q$114:$Q$158,B24,'cth sp'!$S$114:$S$158)</f>
        <v>0</v>
      </c>
      <c r="J24" s="11">
        <f>SUMIF('cth sp'!$Q$159:$Q$389,B24,'cth sp'!$R$159:$R$389)</f>
        <v>0</v>
      </c>
      <c r="K24" s="11">
        <f>SUMIF('cth sp'!$Q$159:$Q$389,B24,'cth sp'!$S$159:$S$389)</f>
        <v>0</v>
      </c>
      <c r="L24" s="11">
        <f t="shared" si="2"/>
        <v>0</v>
      </c>
      <c r="M24" s="11">
        <f t="shared" si="1"/>
        <v>0</v>
      </c>
      <c r="N24" s="11">
        <f t="shared" si="0"/>
        <v>50000</v>
      </c>
    </row>
    <row r="25" spans="1:14" s="406" customFormat="1" x14ac:dyDescent="0.25">
      <c r="A25" s="10">
        <v>18</v>
      </c>
      <c r="B25" s="10" t="s">
        <v>258</v>
      </c>
      <c r="C25" s="7" t="s">
        <v>180</v>
      </c>
      <c r="D25" s="7"/>
      <c r="E25" s="590">
        <v>50000</v>
      </c>
      <c r="F25" s="11">
        <f>SUMIF('cth sp'!$Q$9:$Q$107,B25,'cth sp'!$R$9:$R$107)</f>
        <v>0</v>
      </c>
      <c r="G25" s="11">
        <f>SUMIF('cth sp'!$Q$9:$Q$107,B25,'cth sp'!$S$9:$S$107)</f>
        <v>0</v>
      </c>
      <c r="H25" s="11">
        <f>SUMIF('cth sp'!$Q$114:$Q$158,B25,'cth sp'!$R$114:$R$158)</f>
        <v>0</v>
      </c>
      <c r="I25" s="11">
        <f>SUMIF('cth sp'!$Q$114:$Q$158,B25,'cth sp'!$S$114:$S$158)</f>
        <v>0</v>
      </c>
      <c r="J25" s="11">
        <f>SUMIF('cth sp'!$Q$159:$Q$389,B25,'cth sp'!$R$159:$R$389)</f>
        <v>0</v>
      </c>
      <c r="K25" s="11">
        <f>SUMIF('cth sp'!$Q$159:$Q$389,B25,'cth sp'!$S$159:$S$389)</f>
        <v>0</v>
      </c>
      <c r="L25" s="11">
        <f t="shared" si="2"/>
        <v>0</v>
      </c>
      <c r="M25" s="11">
        <f t="shared" si="1"/>
        <v>0</v>
      </c>
      <c r="N25" s="11">
        <f t="shared" si="0"/>
        <v>50000</v>
      </c>
    </row>
    <row r="26" spans="1:14" s="830" customFormat="1" x14ac:dyDescent="0.25">
      <c r="A26" s="832">
        <v>19</v>
      </c>
      <c r="B26" s="832" t="s">
        <v>259</v>
      </c>
      <c r="C26" s="833" t="s">
        <v>181</v>
      </c>
      <c r="D26" s="833"/>
      <c r="E26" s="834">
        <v>0</v>
      </c>
      <c r="F26" s="599">
        <f>SUMIF('cth sp'!$Q$9:$Q$107,B26,'cth sp'!$R$9:$R$107)</f>
        <v>0</v>
      </c>
      <c r="G26" s="599">
        <f>SUMIF('cth sp'!$Q$9:$Q$107,B26,'cth sp'!$S$9:$S$107)</f>
        <v>0</v>
      </c>
      <c r="H26" s="599">
        <f>SUMIF('cth sp'!$Q$114:$Q$158,B26,'cth sp'!$R$114:$R$158)</f>
        <v>0</v>
      </c>
      <c r="I26" s="599">
        <f>SUMIF('cth sp'!$Q$114:$Q$158,B26,'cth sp'!$S$114:$S$158)</f>
        <v>0</v>
      </c>
      <c r="J26" s="599">
        <f>SUMIF('cth sp'!$Q$159:$Q$389,B26,'cth sp'!$R$159:$R$389)</f>
        <v>0</v>
      </c>
      <c r="K26" s="599">
        <f>SUMIF('cth sp'!$Q$159:$Q$389,B26,'cth sp'!$S$159:$S$389)</f>
        <v>0</v>
      </c>
      <c r="L26" s="599">
        <f t="shared" si="2"/>
        <v>0</v>
      </c>
      <c r="M26" s="599">
        <f t="shared" si="1"/>
        <v>0</v>
      </c>
      <c r="N26" s="599">
        <f t="shared" si="0"/>
        <v>0</v>
      </c>
    </row>
    <row r="27" spans="1:14" s="406" customFormat="1" x14ac:dyDescent="0.25">
      <c r="A27" s="10">
        <v>20</v>
      </c>
      <c r="B27" s="10" t="s">
        <v>260</v>
      </c>
      <c r="C27" s="7" t="s">
        <v>182</v>
      </c>
      <c r="D27" s="7"/>
      <c r="E27" s="590">
        <v>50000</v>
      </c>
      <c r="F27" s="11">
        <f>SUMIF('cth sp'!$Q$9:$Q$107,B27,'cth sp'!$R$9:$R$107)</f>
        <v>0</v>
      </c>
      <c r="G27" s="11">
        <f>SUMIF('cth sp'!$Q$9:$Q$107,B27,'cth sp'!$S$9:$S$107)</f>
        <v>0</v>
      </c>
      <c r="H27" s="11">
        <f>SUMIF('cth sp'!$Q$114:$Q$158,B27,'cth sp'!$R$114:$R$158)</f>
        <v>0</v>
      </c>
      <c r="I27" s="11">
        <f>SUMIF('cth sp'!$Q$114:$Q$158,B27,'cth sp'!$S$114:$S$158)</f>
        <v>0</v>
      </c>
      <c r="J27" s="11">
        <f>SUMIF('cth sp'!$Q$159:$Q$389,B27,'cth sp'!$R$159:$R$389)</f>
        <v>0</v>
      </c>
      <c r="K27" s="11">
        <f>SUMIF('cth sp'!$Q$159:$Q$389,B27,'cth sp'!$S$159:$S$389)</f>
        <v>0</v>
      </c>
      <c r="L27" s="11">
        <f t="shared" si="2"/>
        <v>0</v>
      </c>
      <c r="M27" s="11">
        <f t="shared" si="1"/>
        <v>0</v>
      </c>
      <c r="N27" s="11">
        <f t="shared" si="0"/>
        <v>50000</v>
      </c>
    </row>
    <row r="28" spans="1:14" s="406" customFormat="1" x14ac:dyDescent="0.25">
      <c r="A28" s="10">
        <v>21</v>
      </c>
      <c r="B28" s="10" t="s">
        <v>261</v>
      </c>
      <c r="C28" s="7" t="s">
        <v>183</v>
      </c>
      <c r="D28" s="7"/>
      <c r="E28" s="590">
        <v>50000</v>
      </c>
      <c r="F28" s="11">
        <f>SUMIF('cth sp'!$Q$9:$Q$107,B28,'cth sp'!$R$9:$R$107)</f>
        <v>0</v>
      </c>
      <c r="G28" s="11">
        <f>SUMIF('cth sp'!$Q$9:$Q$107,B28,'cth sp'!$S$9:$S$107)</f>
        <v>0</v>
      </c>
      <c r="H28" s="11">
        <f>SUMIF('cth sp'!$Q$114:$Q$158,B28,'cth sp'!$R$114:$R$158)</f>
        <v>0</v>
      </c>
      <c r="I28" s="11">
        <f>SUMIF('cth sp'!$Q$114:$Q$158,B28,'cth sp'!$S$114:$S$158)</f>
        <v>0</v>
      </c>
      <c r="J28" s="11">
        <f>SUMIF('cth sp'!$Q$159:$Q$389,B28,'cth sp'!$R$159:$R$389)</f>
        <v>0</v>
      </c>
      <c r="K28" s="11">
        <f>SUMIF('cth sp'!$Q$159:$Q$389,B28,'cth sp'!$S$159:$S$389)</f>
        <v>0</v>
      </c>
      <c r="L28" s="11">
        <f t="shared" si="2"/>
        <v>0</v>
      </c>
      <c r="M28" s="11">
        <f t="shared" si="1"/>
        <v>0</v>
      </c>
      <c r="N28" s="11">
        <f t="shared" si="0"/>
        <v>50000</v>
      </c>
    </row>
    <row r="29" spans="1:14" s="406" customFormat="1" x14ac:dyDescent="0.25">
      <c r="A29" s="10">
        <v>22</v>
      </c>
      <c r="B29" s="10" t="s">
        <v>262</v>
      </c>
      <c r="C29" s="7" t="s">
        <v>184</v>
      </c>
      <c r="D29" s="7"/>
      <c r="E29" s="590">
        <v>50000</v>
      </c>
      <c r="F29" s="11">
        <f>SUMIF('cth sp'!$Q$9:$Q$107,B29,'cth sp'!$R$9:$R$107)</f>
        <v>0</v>
      </c>
      <c r="G29" s="11">
        <f>SUMIF('cth sp'!$Q$9:$Q$107,B29,'cth sp'!$S$9:$S$107)</f>
        <v>0</v>
      </c>
      <c r="H29" s="11">
        <f>SUMIF('cth sp'!$Q$114:$Q$158,B29,'cth sp'!$R$114:$R$158)</f>
        <v>0</v>
      </c>
      <c r="I29" s="11">
        <f>SUMIF('cth sp'!$Q$114:$Q$158,B29,'cth sp'!$S$114:$S$158)</f>
        <v>0</v>
      </c>
      <c r="J29" s="11">
        <f>SUMIF('cth sp'!$Q$159:$Q$389,B29,'cth sp'!$R$159:$R$389)</f>
        <v>0</v>
      </c>
      <c r="K29" s="11">
        <f>SUMIF('cth sp'!$Q$159:$Q$389,B29,'cth sp'!$S$159:$S$389)</f>
        <v>0</v>
      </c>
      <c r="L29" s="11">
        <f t="shared" si="2"/>
        <v>0</v>
      </c>
      <c r="M29" s="11">
        <f t="shared" si="1"/>
        <v>0</v>
      </c>
      <c r="N29" s="11">
        <f t="shared" si="0"/>
        <v>50000</v>
      </c>
    </row>
    <row r="30" spans="1:14" s="406" customFormat="1" x14ac:dyDescent="0.25">
      <c r="A30" s="10">
        <v>23</v>
      </c>
      <c r="B30" s="10" t="s">
        <v>263</v>
      </c>
      <c r="C30" s="7" t="s">
        <v>185</v>
      </c>
      <c r="D30" s="7"/>
      <c r="E30" s="590">
        <v>50000</v>
      </c>
      <c r="F30" s="11">
        <f>SUMIF('cth sp'!$Q$9:$Q$107,B30,'cth sp'!$R$9:$R$107)</f>
        <v>0</v>
      </c>
      <c r="G30" s="11">
        <f>SUMIF('cth sp'!$Q$9:$Q$107,B30,'cth sp'!$S$9:$S$107)</f>
        <v>0</v>
      </c>
      <c r="H30" s="11">
        <f>SUMIF('cth sp'!$Q$114:$Q$158,B30,'cth sp'!$R$114:$R$158)</f>
        <v>0</v>
      </c>
      <c r="I30" s="11">
        <f>SUMIF('cth sp'!$Q$114:$Q$158,B30,'cth sp'!$S$114:$S$158)</f>
        <v>0</v>
      </c>
      <c r="J30" s="11">
        <f>SUMIF('cth sp'!$Q$159:$Q$389,B30,'cth sp'!$R$159:$R$389)</f>
        <v>0</v>
      </c>
      <c r="K30" s="11">
        <f>SUMIF('cth sp'!$Q$159:$Q$389,B30,'cth sp'!$S$159:$S$389)</f>
        <v>0</v>
      </c>
      <c r="L30" s="11">
        <f t="shared" si="2"/>
        <v>0</v>
      </c>
      <c r="M30" s="11">
        <f t="shared" si="1"/>
        <v>0</v>
      </c>
      <c r="N30" s="11">
        <f t="shared" si="0"/>
        <v>50000</v>
      </c>
    </row>
    <row r="31" spans="1:14" s="406" customFormat="1" x14ac:dyDescent="0.25">
      <c r="A31" s="10">
        <v>24</v>
      </c>
      <c r="B31" s="10" t="s">
        <v>264</v>
      </c>
      <c r="C31" s="8" t="s">
        <v>186</v>
      </c>
      <c r="D31" s="8"/>
      <c r="E31" s="590">
        <v>50000</v>
      </c>
      <c r="F31" s="11">
        <f>SUMIF('cth sp'!$Q$9:$Q$107,B31,'cth sp'!$R$9:$R$107)</f>
        <v>0</v>
      </c>
      <c r="G31" s="11">
        <f>SUMIF('cth sp'!$Q$9:$Q$107,B31,'cth sp'!$S$9:$S$107)</f>
        <v>0</v>
      </c>
      <c r="H31" s="11">
        <f>SUMIF('cth sp'!$Q$114:$Q$158,B31,'cth sp'!$R$114:$R$158)</f>
        <v>0</v>
      </c>
      <c r="I31" s="11">
        <f>SUMIF('cth sp'!$Q$114:$Q$158,B31,'cth sp'!$S$114:$S$158)</f>
        <v>0</v>
      </c>
      <c r="J31" s="11">
        <f>SUMIF('cth sp'!$Q$159:$Q$389,B31,'cth sp'!$R$159:$R$389)</f>
        <v>0</v>
      </c>
      <c r="K31" s="11">
        <f>SUMIF('cth sp'!$Q$159:$Q$389,B31,'cth sp'!$S$159:$S$389)</f>
        <v>0</v>
      </c>
      <c r="L31" s="11">
        <f t="shared" si="2"/>
        <v>0</v>
      </c>
      <c r="M31" s="11">
        <f t="shared" si="1"/>
        <v>0</v>
      </c>
      <c r="N31" s="11">
        <f t="shared" si="0"/>
        <v>50000</v>
      </c>
    </row>
    <row r="32" spans="1:14" s="406" customFormat="1" x14ac:dyDescent="0.25">
      <c r="A32" s="10">
        <v>25</v>
      </c>
      <c r="B32" s="10" t="s">
        <v>265</v>
      </c>
      <c r="C32" s="8" t="s">
        <v>187</v>
      </c>
      <c r="D32" s="8"/>
      <c r="E32" s="590">
        <v>50000</v>
      </c>
      <c r="F32" s="11">
        <f>SUMIF('cth sp'!$Q$9:$Q$107,B32,'cth sp'!$R$9:$R$107)</f>
        <v>0</v>
      </c>
      <c r="G32" s="11">
        <f>SUMIF('cth sp'!$Q$9:$Q$107,B32,'cth sp'!$S$9:$S$107)</f>
        <v>0</v>
      </c>
      <c r="H32" s="11">
        <f>SUMIF('cth sp'!$Q$114:$Q$158,B32,'cth sp'!$R$114:$R$158)</f>
        <v>0</v>
      </c>
      <c r="I32" s="11">
        <f>SUMIF('cth sp'!$Q$114:$Q$158,B32,'cth sp'!$S$114:$S$158)</f>
        <v>0</v>
      </c>
      <c r="J32" s="11">
        <f>SUMIF('cth sp'!$Q$159:$Q$389,B32,'cth sp'!$R$159:$R$389)</f>
        <v>0</v>
      </c>
      <c r="K32" s="11">
        <f>SUMIF('cth sp'!$Q$159:$Q$389,B32,'cth sp'!$S$159:$S$389)</f>
        <v>0</v>
      </c>
      <c r="L32" s="11">
        <f t="shared" si="2"/>
        <v>0</v>
      </c>
      <c r="M32" s="11">
        <f t="shared" si="1"/>
        <v>0</v>
      </c>
      <c r="N32" s="11">
        <f t="shared" si="0"/>
        <v>50000</v>
      </c>
    </row>
    <row r="33" spans="1:14" s="406" customFormat="1" x14ac:dyDescent="0.25">
      <c r="A33" s="10">
        <v>26</v>
      </c>
      <c r="B33" s="12" t="s">
        <v>266</v>
      </c>
      <c r="C33" s="8" t="s">
        <v>188</v>
      </c>
      <c r="D33" s="8"/>
      <c r="E33" s="590">
        <v>50000</v>
      </c>
      <c r="F33" s="11">
        <f>SUMIF('cth sp'!$Q$9:$Q$107,B33,'cth sp'!$R$9:$R$107)</f>
        <v>0</v>
      </c>
      <c r="G33" s="11">
        <f>SUMIF('cth sp'!$Q$9:$Q$107,B33,'cth sp'!$S$9:$S$107)</f>
        <v>0</v>
      </c>
      <c r="H33" s="11">
        <f>SUMIF('cth sp'!$Q$114:$Q$158,B33,'cth sp'!$R$114:$R$158)</f>
        <v>0</v>
      </c>
      <c r="I33" s="11">
        <f>SUMIF('cth sp'!$Q$114:$Q$158,B33,'cth sp'!$S$114:$S$158)</f>
        <v>0</v>
      </c>
      <c r="J33" s="11">
        <f>SUMIF('cth sp'!$Q$159:$Q$389,B33,'cth sp'!$R$159:$R$389)</f>
        <v>0</v>
      </c>
      <c r="K33" s="11">
        <f>SUMIF('cth sp'!$Q$159:$Q$389,B33,'cth sp'!$S$159:$S$389)</f>
        <v>0</v>
      </c>
      <c r="L33" s="11">
        <f t="shared" si="2"/>
        <v>0</v>
      </c>
      <c r="M33" s="11">
        <f t="shared" si="1"/>
        <v>0</v>
      </c>
      <c r="N33" s="11">
        <f t="shared" si="0"/>
        <v>50000</v>
      </c>
    </row>
    <row r="34" spans="1:14" s="406" customFormat="1" x14ac:dyDescent="0.25">
      <c r="A34" s="10">
        <v>27</v>
      </c>
      <c r="B34" s="10" t="s">
        <v>267</v>
      </c>
      <c r="C34" s="8" t="s">
        <v>189</v>
      </c>
      <c r="D34" s="8"/>
      <c r="E34" s="590">
        <v>50000</v>
      </c>
      <c r="F34" s="11">
        <f>SUMIF('cth sp'!$Q$9:$Q$107,B34,'cth sp'!$R$9:$R$107)</f>
        <v>0</v>
      </c>
      <c r="G34" s="11">
        <f>SUMIF('cth sp'!$Q$9:$Q$107,B34,'cth sp'!$S$9:$S$107)</f>
        <v>0</v>
      </c>
      <c r="H34" s="11">
        <f>SUMIF('cth sp'!$Q$114:$Q$158,B34,'cth sp'!$R$114:$R$158)</f>
        <v>0</v>
      </c>
      <c r="I34" s="11">
        <f>SUMIF('cth sp'!$Q$114:$Q$158,B34,'cth sp'!$S$114:$S$158)</f>
        <v>0</v>
      </c>
      <c r="J34" s="11">
        <f>SUMIF('cth sp'!$Q$159:$Q$389,B34,'cth sp'!$R$159:$R$389)</f>
        <v>0</v>
      </c>
      <c r="K34" s="11">
        <f>SUMIF('cth sp'!$Q$159:$Q$389,B34,'cth sp'!$S$159:$S$389)</f>
        <v>0</v>
      </c>
      <c r="L34" s="11">
        <f t="shared" si="2"/>
        <v>0</v>
      </c>
      <c r="M34" s="11">
        <f t="shared" si="1"/>
        <v>0</v>
      </c>
      <c r="N34" s="11">
        <f t="shared" si="0"/>
        <v>50000</v>
      </c>
    </row>
    <row r="35" spans="1:14" s="406" customFormat="1" x14ac:dyDescent="0.25">
      <c r="A35" s="10">
        <v>28</v>
      </c>
      <c r="B35" s="10" t="s">
        <v>268</v>
      </c>
      <c r="C35" s="8" t="s">
        <v>190</v>
      </c>
      <c r="D35" s="8"/>
      <c r="E35" s="590">
        <v>50000</v>
      </c>
      <c r="F35" s="11">
        <f>SUMIF('cth sp'!$Q$9:$Q$107,B35,'cth sp'!$R$9:$R$107)</f>
        <v>0</v>
      </c>
      <c r="G35" s="11">
        <f>SUMIF('cth sp'!$Q$9:$Q$107,B35,'cth sp'!$S$9:$S$107)</f>
        <v>0</v>
      </c>
      <c r="H35" s="11">
        <f>SUMIF('cth sp'!$Q$114:$Q$158,B35,'cth sp'!$R$114:$R$158)</f>
        <v>0</v>
      </c>
      <c r="I35" s="11">
        <f>SUMIF('cth sp'!$Q$114:$Q$158,B35,'cth sp'!$S$114:$S$158)</f>
        <v>0</v>
      </c>
      <c r="J35" s="11">
        <f>SUMIF('cth sp'!$Q$159:$Q$389,B35,'cth sp'!$R$159:$R$389)</f>
        <v>0</v>
      </c>
      <c r="K35" s="11">
        <f>SUMIF('cth sp'!$Q$159:$Q$389,B35,'cth sp'!$S$159:$S$389)</f>
        <v>0</v>
      </c>
      <c r="L35" s="11">
        <f t="shared" si="2"/>
        <v>0</v>
      </c>
      <c r="M35" s="11">
        <f t="shared" si="1"/>
        <v>0</v>
      </c>
      <c r="N35" s="11">
        <f t="shared" si="0"/>
        <v>50000</v>
      </c>
    </row>
    <row r="36" spans="1:14" s="406" customFormat="1" x14ac:dyDescent="0.25">
      <c r="A36" s="10">
        <v>29</v>
      </c>
      <c r="B36" s="10" t="s">
        <v>269</v>
      </c>
      <c r="C36" s="8" t="s">
        <v>191</v>
      </c>
      <c r="D36" s="8"/>
      <c r="E36" s="590">
        <v>50000</v>
      </c>
      <c r="F36" s="11">
        <f>SUMIF('cth sp'!$Q$9:$Q$107,B36,'cth sp'!$R$9:$R$107)</f>
        <v>0</v>
      </c>
      <c r="G36" s="11">
        <f>SUMIF('cth sp'!$Q$9:$Q$107,B36,'cth sp'!$S$9:$S$107)</f>
        <v>0</v>
      </c>
      <c r="H36" s="11">
        <f>SUMIF('cth sp'!$Q$114:$Q$158,B36,'cth sp'!$R$114:$R$158)</f>
        <v>0</v>
      </c>
      <c r="I36" s="11">
        <f>SUMIF('cth sp'!$Q$114:$Q$158,B36,'cth sp'!$S$114:$S$158)</f>
        <v>0</v>
      </c>
      <c r="J36" s="11">
        <f>SUMIF('cth sp'!$Q$159:$Q$389,B36,'cth sp'!$R$159:$R$389)</f>
        <v>0</v>
      </c>
      <c r="K36" s="11">
        <f>SUMIF('cth sp'!$Q$159:$Q$389,B36,'cth sp'!$S$159:$S$389)</f>
        <v>0</v>
      </c>
      <c r="L36" s="11">
        <f t="shared" si="2"/>
        <v>0</v>
      </c>
      <c r="M36" s="11">
        <f t="shared" si="1"/>
        <v>0</v>
      </c>
      <c r="N36" s="11">
        <f t="shared" si="0"/>
        <v>50000</v>
      </c>
    </row>
    <row r="37" spans="1:14" s="406" customFormat="1" x14ac:dyDescent="0.25">
      <c r="A37" s="10">
        <v>30</v>
      </c>
      <c r="B37" s="10" t="s">
        <v>270</v>
      </c>
      <c r="C37" s="8" t="s">
        <v>192</v>
      </c>
      <c r="D37" s="8"/>
      <c r="E37" s="590">
        <v>50000</v>
      </c>
      <c r="F37" s="11">
        <f>SUMIF('cth sp'!$Q$9:$Q$107,B37,'cth sp'!$R$9:$R$107)</f>
        <v>0</v>
      </c>
      <c r="G37" s="11">
        <f>SUMIF('cth sp'!$Q$9:$Q$107,B37,'cth sp'!$S$9:$S$107)</f>
        <v>0</v>
      </c>
      <c r="H37" s="11">
        <f>SUMIF('cth sp'!$Q$114:$Q$158,B37,'cth sp'!$R$114:$R$158)</f>
        <v>0</v>
      </c>
      <c r="I37" s="11">
        <f>SUMIF('cth sp'!$Q$114:$Q$158,B37,'cth sp'!$S$114:$S$158)</f>
        <v>0</v>
      </c>
      <c r="J37" s="11">
        <f>SUMIF('cth sp'!$Q$159:$Q$389,B37,'cth sp'!$R$159:$R$389)</f>
        <v>0</v>
      </c>
      <c r="K37" s="11">
        <f>SUMIF('cth sp'!$Q$159:$Q$389,B37,'cth sp'!$S$159:$S$389)</f>
        <v>0</v>
      </c>
      <c r="L37" s="11">
        <f t="shared" si="2"/>
        <v>0</v>
      </c>
      <c r="M37" s="11">
        <f t="shared" si="1"/>
        <v>0</v>
      </c>
      <c r="N37" s="11">
        <f t="shared" si="0"/>
        <v>50000</v>
      </c>
    </row>
    <row r="38" spans="1:14" s="406" customFormat="1" x14ac:dyDescent="0.25">
      <c r="A38" s="10">
        <v>31</v>
      </c>
      <c r="B38" s="10" t="s">
        <v>271</v>
      </c>
      <c r="C38" s="8" t="s">
        <v>193</v>
      </c>
      <c r="D38" s="8"/>
      <c r="E38" s="590">
        <v>50000</v>
      </c>
      <c r="F38" s="11">
        <f>SUMIF('cth sp'!$Q$9:$Q$107,B38,'cth sp'!$R$9:$R$107)</f>
        <v>0</v>
      </c>
      <c r="G38" s="11">
        <f>SUMIF('cth sp'!$Q$9:$Q$107,B38,'cth sp'!$S$9:$S$107)</f>
        <v>0</v>
      </c>
      <c r="H38" s="11">
        <f>SUMIF('cth sp'!$Q$114:$Q$158,B38,'cth sp'!$R$114:$R$158)</f>
        <v>0</v>
      </c>
      <c r="I38" s="11">
        <f>SUMIF('cth sp'!$Q$114:$Q$158,B38,'cth sp'!$S$114:$S$158)</f>
        <v>0</v>
      </c>
      <c r="J38" s="11">
        <f>SUMIF('cth sp'!$Q$159:$Q$389,B38,'cth sp'!$R$159:$R$389)</f>
        <v>0</v>
      </c>
      <c r="K38" s="11">
        <f>SUMIF('cth sp'!$Q$159:$Q$389,B38,'cth sp'!$S$159:$S$389)</f>
        <v>0</v>
      </c>
      <c r="L38" s="11">
        <f t="shared" si="2"/>
        <v>0</v>
      </c>
      <c r="M38" s="11">
        <f t="shared" si="1"/>
        <v>0</v>
      </c>
      <c r="N38" s="11">
        <f t="shared" si="0"/>
        <v>50000</v>
      </c>
    </row>
    <row r="39" spans="1:14" s="406" customFormat="1" x14ac:dyDescent="0.25">
      <c r="A39" s="10">
        <v>32</v>
      </c>
      <c r="B39" s="10" t="s">
        <v>272</v>
      </c>
      <c r="C39" s="8" t="s">
        <v>194</v>
      </c>
      <c r="D39" s="8"/>
      <c r="E39" s="590">
        <v>50000</v>
      </c>
      <c r="F39" s="11">
        <f>SUMIF('cth sp'!$Q$9:$Q$107,B39,'cth sp'!$R$9:$R$107)</f>
        <v>0</v>
      </c>
      <c r="G39" s="11">
        <f>SUMIF('cth sp'!$Q$9:$Q$107,B39,'cth sp'!$S$9:$S$107)</f>
        <v>0</v>
      </c>
      <c r="H39" s="11">
        <f>SUMIF('cth sp'!$Q$114:$Q$158,B39,'cth sp'!$R$114:$R$158)</f>
        <v>0</v>
      </c>
      <c r="I39" s="11">
        <f>SUMIF('cth sp'!$Q$114:$Q$158,B39,'cth sp'!$S$114:$S$158)</f>
        <v>0</v>
      </c>
      <c r="J39" s="11">
        <f>SUMIF('cth sp'!$Q$159:$Q$389,B39,'cth sp'!$R$159:$R$389)</f>
        <v>0</v>
      </c>
      <c r="K39" s="11">
        <f>SUMIF('cth sp'!$Q$159:$Q$389,B39,'cth sp'!$S$159:$S$389)</f>
        <v>0</v>
      </c>
      <c r="L39" s="11">
        <f t="shared" si="2"/>
        <v>0</v>
      </c>
      <c r="M39" s="11">
        <f t="shared" si="1"/>
        <v>0</v>
      </c>
      <c r="N39" s="11">
        <f t="shared" ref="N39:N70" si="3">E39+L39-M39</f>
        <v>50000</v>
      </c>
    </row>
    <row r="40" spans="1:14" s="830" customFormat="1" x14ac:dyDescent="0.25">
      <c r="A40" s="832">
        <v>33</v>
      </c>
      <c r="B40" s="832" t="s">
        <v>273</v>
      </c>
      <c r="C40" s="831" t="s">
        <v>195</v>
      </c>
      <c r="D40" s="831"/>
      <c r="E40" s="834">
        <v>0</v>
      </c>
      <c r="F40" s="599">
        <f>SUMIF('cth sp'!$Q$9:$Q$107,B40,'cth sp'!$R$9:$R$107)</f>
        <v>0</v>
      </c>
      <c r="G40" s="599">
        <f>SUMIF('cth sp'!$Q$9:$Q$107,B40,'cth sp'!$S$9:$S$107)</f>
        <v>0</v>
      </c>
      <c r="H40" s="599">
        <f>SUMIF('cth sp'!$Q$114:$Q$158,B40,'cth sp'!$R$114:$R$158)</f>
        <v>0</v>
      </c>
      <c r="I40" s="599">
        <f>SUMIF('cth sp'!$Q$114:$Q$158,B40,'cth sp'!$S$114:$S$158)</f>
        <v>0</v>
      </c>
      <c r="J40" s="599">
        <f>SUMIF('cth sp'!$Q$159:$Q$389,B40,'cth sp'!$R$159:$R$389)</f>
        <v>0</v>
      </c>
      <c r="K40" s="599">
        <f>SUMIF('cth sp'!$Q$159:$Q$389,B40,'cth sp'!$S$159:$S$389)</f>
        <v>0</v>
      </c>
      <c r="L40" s="599">
        <f t="shared" si="2"/>
        <v>0</v>
      </c>
      <c r="M40" s="599">
        <f t="shared" si="1"/>
        <v>0</v>
      </c>
      <c r="N40" s="599">
        <f t="shared" si="3"/>
        <v>0</v>
      </c>
    </row>
    <row r="41" spans="1:14" s="406" customFormat="1" x14ac:dyDescent="0.25">
      <c r="A41" s="10">
        <v>34</v>
      </c>
      <c r="B41" s="10" t="s">
        <v>274</v>
      </c>
      <c r="C41" s="8" t="s">
        <v>196</v>
      </c>
      <c r="D41" s="8"/>
      <c r="E41" s="590">
        <v>50000</v>
      </c>
      <c r="F41" s="11">
        <f>SUMIF('cth sp'!$Q$9:$Q$107,B41,'cth sp'!$R$9:$R$107)</f>
        <v>0</v>
      </c>
      <c r="G41" s="11">
        <f>SUMIF('cth sp'!$Q$9:$Q$107,B41,'cth sp'!$S$9:$S$107)</f>
        <v>0</v>
      </c>
      <c r="H41" s="11">
        <f>SUMIF('cth sp'!$Q$114:$Q$158,B41,'cth sp'!$R$114:$R$158)</f>
        <v>0</v>
      </c>
      <c r="I41" s="11">
        <f>SUMIF('cth sp'!$Q$114:$Q$158,B41,'cth sp'!$S$114:$S$158)</f>
        <v>0</v>
      </c>
      <c r="J41" s="11">
        <f>SUMIF('cth sp'!$Q$159:$Q$389,B41,'cth sp'!$R$159:$R$389)</f>
        <v>0</v>
      </c>
      <c r="K41" s="11">
        <f>SUMIF('cth sp'!$Q$159:$Q$389,B41,'cth sp'!$S$159:$S$389)</f>
        <v>0</v>
      </c>
      <c r="L41" s="11">
        <f t="shared" si="2"/>
        <v>0</v>
      </c>
      <c r="M41" s="11">
        <f t="shared" si="1"/>
        <v>0</v>
      </c>
      <c r="N41" s="11">
        <f t="shared" si="3"/>
        <v>50000</v>
      </c>
    </row>
    <row r="42" spans="1:14" s="406" customFormat="1" x14ac:dyDescent="0.25">
      <c r="A42" s="10">
        <v>35</v>
      </c>
      <c r="B42" s="10" t="s">
        <v>275</v>
      </c>
      <c r="C42" s="10" t="s">
        <v>212</v>
      </c>
      <c r="D42" s="10"/>
      <c r="E42" s="590">
        <v>50000</v>
      </c>
      <c r="F42" s="11">
        <f>SUMIF('cth sp'!$Q$9:$Q$107,B42,'cth sp'!$R$9:$R$107)</f>
        <v>0</v>
      </c>
      <c r="G42" s="11">
        <f>SUMIF('cth sp'!$Q$9:$Q$107,B42,'cth sp'!$S$9:$S$107)</f>
        <v>0</v>
      </c>
      <c r="H42" s="11">
        <f>SUMIF('cth sp'!$Q$114:$Q$158,B42,'cth sp'!$R$114:$R$158)</f>
        <v>0</v>
      </c>
      <c r="I42" s="11">
        <f>SUMIF('cth sp'!$Q$114:$Q$158,B42,'cth sp'!$S$114:$S$158)</f>
        <v>0</v>
      </c>
      <c r="J42" s="11">
        <f>SUMIF('cth sp'!$Q$159:$Q$389,B42,'cth sp'!$R$159:$R$389)</f>
        <v>0</v>
      </c>
      <c r="K42" s="11">
        <f>SUMIF('cth sp'!$Q$159:$Q$389,B42,'cth sp'!$S$159:$S$389)</f>
        <v>0</v>
      </c>
      <c r="L42" s="11">
        <f t="shared" si="2"/>
        <v>0</v>
      </c>
      <c r="M42" s="11">
        <f t="shared" si="1"/>
        <v>0</v>
      </c>
      <c r="N42" s="11">
        <f t="shared" si="3"/>
        <v>50000</v>
      </c>
    </row>
    <row r="43" spans="1:14" s="406" customFormat="1" x14ac:dyDescent="0.25">
      <c r="A43" s="10">
        <v>36</v>
      </c>
      <c r="B43" s="10" t="s">
        <v>276</v>
      </c>
      <c r="C43" s="10" t="s">
        <v>213</v>
      </c>
      <c r="D43" s="10"/>
      <c r="E43" s="590">
        <v>50000</v>
      </c>
      <c r="F43" s="11">
        <f>SUMIF('cth sp'!$Q$9:$Q$107,B43,'cth sp'!$R$9:$R$107)</f>
        <v>0</v>
      </c>
      <c r="G43" s="11">
        <f>SUMIF('cth sp'!$Q$9:$Q$107,B43,'cth sp'!$S$9:$S$107)</f>
        <v>0</v>
      </c>
      <c r="H43" s="11">
        <f>SUMIF('cth sp'!$Q$114:$Q$158,B43,'cth sp'!$R$114:$R$158)</f>
        <v>0</v>
      </c>
      <c r="I43" s="11">
        <f>SUMIF('cth sp'!$Q$114:$Q$158,B43,'cth sp'!$S$114:$S$158)</f>
        <v>0</v>
      </c>
      <c r="J43" s="11">
        <f>SUMIF('cth sp'!$Q$159:$Q$389,B43,'cth sp'!$R$159:$R$389)</f>
        <v>0</v>
      </c>
      <c r="K43" s="11">
        <f>SUMIF('cth sp'!$Q$159:$Q$389,B43,'cth sp'!$S$159:$S$389)</f>
        <v>0</v>
      </c>
      <c r="L43" s="11">
        <f t="shared" si="2"/>
        <v>0</v>
      </c>
      <c r="M43" s="11">
        <f t="shared" si="1"/>
        <v>0</v>
      </c>
      <c r="N43" s="11">
        <f t="shared" si="3"/>
        <v>50000</v>
      </c>
    </row>
    <row r="44" spans="1:14" s="406" customFormat="1" x14ac:dyDescent="0.25">
      <c r="A44" s="10">
        <v>37</v>
      </c>
      <c r="B44" s="10" t="s">
        <v>277</v>
      </c>
      <c r="C44" s="10" t="s">
        <v>220</v>
      </c>
      <c r="D44" s="10"/>
      <c r="E44" s="590">
        <v>50000</v>
      </c>
      <c r="F44" s="11">
        <f>SUMIF('cth sp'!$Q$9:$Q$107,B44,'cth sp'!$R$9:$R$107)</f>
        <v>0</v>
      </c>
      <c r="G44" s="11">
        <f>SUMIF('cth sp'!$Q$9:$Q$107,B44,'cth sp'!$S$9:$S$107)</f>
        <v>0</v>
      </c>
      <c r="H44" s="11">
        <f>SUMIF('cth sp'!$Q$114:$Q$158,B44,'cth sp'!$R$114:$R$158)</f>
        <v>0</v>
      </c>
      <c r="I44" s="11">
        <f>SUMIF('cth sp'!$Q$114:$Q$158,B44,'cth sp'!$S$114:$S$158)</f>
        <v>0</v>
      </c>
      <c r="J44" s="11">
        <f>SUMIF('cth sp'!$Q$159:$Q$389,B44,'cth sp'!$R$159:$R$389)</f>
        <v>0</v>
      </c>
      <c r="K44" s="11">
        <f>SUMIF('cth sp'!$Q$159:$Q$389,B44,'cth sp'!$S$159:$S$389)</f>
        <v>0</v>
      </c>
      <c r="L44" s="11">
        <f t="shared" si="2"/>
        <v>0</v>
      </c>
      <c r="M44" s="11">
        <f t="shared" si="1"/>
        <v>0</v>
      </c>
      <c r="N44" s="11">
        <f t="shared" si="3"/>
        <v>50000</v>
      </c>
    </row>
    <row r="45" spans="1:14" s="830" customFormat="1" x14ac:dyDescent="0.25">
      <c r="A45" s="832">
        <v>38</v>
      </c>
      <c r="B45" s="832" t="s">
        <v>278</v>
      </c>
      <c r="C45" s="832" t="s">
        <v>214</v>
      </c>
      <c r="D45" s="832"/>
      <c r="E45" s="834">
        <v>50000</v>
      </c>
      <c r="F45" s="599">
        <f>SUMIF('cth sp'!$Q$9:$Q$107,B45,'cth sp'!$R$9:$R$107)</f>
        <v>0</v>
      </c>
      <c r="G45" s="599">
        <f>SUMIF('cth sp'!$Q$9:$Q$107,B45,'cth sp'!$S$9:$S$107)</f>
        <v>0</v>
      </c>
      <c r="H45" s="599">
        <f>SUMIF('cth sp'!$Q$114:$Q$158,B45,'cth sp'!$R$114:$R$158)</f>
        <v>0</v>
      </c>
      <c r="I45" s="599">
        <f>SUMIF('cth sp'!$Q$114:$Q$158,B45,'cth sp'!$S$114:$S$158)</f>
        <v>0</v>
      </c>
      <c r="J45" s="599">
        <f>SUMIF('cth sp'!$Q$159:$Q$389,B45,'cth sp'!$R$159:$R$389)</f>
        <v>0</v>
      </c>
      <c r="K45" s="599">
        <f>SUMIF('cth sp'!$Q$159:$Q$389,B45,'cth sp'!$S$159:$S$389)</f>
        <v>0</v>
      </c>
      <c r="L45" s="599">
        <f t="shared" si="2"/>
        <v>0</v>
      </c>
      <c r="M45" s="599">
        <f t="shared" si="1"/>
        <v>0</v>
      </c>
      <c r="N45" s="599">
        <f t="shared" si="3"/>
        <v>50000</v>
      </c>
    </row>
    <row r="46" spans="1:14" s="830" customFormat="1" x14ac:dyDescent="0.25">
      <c r="A46" s="832">
        <v>39</v>
      </c>
      <c r="B46" s="832" t="s">
        <v>279</v>
      </c>
      <c r="C46" s="824" t="s">
        <v>221</v>
      </c>
      <c r="D46" s="824"/>
      <c r="E46" s="834">
        <v>0</v>
      </c>
      <c r="F46" s="599">
        <f>SUMIF('cth sp'!$Q$9:$Q$107,B46,'cth sp'!$R$9:$R$107)</f>
        <v>0</v>
      </c>
      <c r="G46" s="599">
        <f>SUMIF('cth sp'!$Q$9:$Q$107,B46,'cth sp'!$S$9:$S$107)</f>
        <v>0</v>
      </c>
      <c r="H46" s="599">
        <f>SUMIF('cth sp'!$Q$114:$Q$158,B46,'cth sp'!$R$114:$R$158)</f>
        <v>0</v>
      </c>
      <c r="I46" s="599">
        <f>SUMIF('cth sp'!$Q$114:$Q$158,B46,'cth sp'!$S$114:$S$158)</f>
        <v>0</v>
      </c>
      <c r="J46" s="599">
        <f>SUMIF('cth sp'!$Q$159:$Q$389,B46,'cth sp'!$R$159:$R$389)</f>
        <v>0</v>
      </c>
      <c r="K46" s="599">
        <f>SUMIF('cth sp'!$Q$159:$Q$389,B46,'cth sp'!$S$159:$S$389)</f>
        <v>0</v>
      </c>
      <c r="L46" s="599">
        <f t="shared" si="2"/>
        <v>0</v>
      </c>
      <c r="M46" s="599">
        <f t="shared" si="1"/>
        <v>0</v>
      </c>
      <c r="N46" s="599">
        <f t="shared" si="3"/>
        <v>0</v>
      </c>
    </row>
    <row r="47" spans="1:14" s="406" customFormat="1" x14ac:dyDescent="0.25">
      <c r="A47" s="10">
        <v>40</v>
      </c>
      <c r="B47" s="10" t="s">
        <v>280</v>
      </c>
      <c r="C47" s="10" t="s">
        <v>222</v>
      </c>
      <c r="D47" s="10"/>
      <c r="E47" s="590">
        <v>50000</v>
      </c>
      <c r="F47" s="11">
        <f>SUMIF('cth sp'!$Q$9:$Q$107,B47,'cth sp'!$R$9:$R$107)</f>
        <v>0</v>
      </c>
      <c r="G47" s="11">
        <f>SUMIF('cth sp'!$Q$9:$Q$107,B47,'cth sp'!$S$9:$S$107)</f>
        <v>0</v>
      </c>
      <c r="H47" s="11">
        <f>SUMIF('cth sp'!$Q$114:$Q$158,B47,'cth sp'!$R$114:$R$158)</f>
        <v>0</v>
      </c>
      <c r="I47" s="11">
        <f>SUMIF('cth sp'!$Q$114:$Q$158,B47,'cth sp'!$S$114:$S$158)</f>
        <v>0</v>
      </c>
      <c r="J47" s="11">
        <f>SUMIF('cth sp'!$Q$159:$Q$389,B47,'cth sp'!$R$159:$R$389)</f>
        <v>0</v>
      </c>
      <c r="K47" s="11">
        <f>SUMIF('cth sp'!$Q$159:$Q$389,B47,'cth sp'!$S$159:$S$389)</f>
        <v>0</v>
      </c>
      <c r="L47" s="11">
        <f t="shared" si="2"/>
        <v>0</v>
      </c>
      <c r="M47" s="11">
        <f t="shared" si="1"/>
        <v>0</v>
      </c>
      <c r="N47" s="11">
        <f t="shared" si="3"/>
        <v>50000</v>
      </c>
    </row>
    <row r="48" spans="1:14" s="406" customFormat="1" x14ac:dyDescent="0.25">
      <c r="A48" s="10">
        <v>41</v>
      </c>
      <c r="B48" s="10" t="s">
        <v>240</v>
      </c>
      <c r="C48" s="10" t="s">
        <v>223</v>
      </c>
      <c r="D48" s="10"/>
      <c r="E48" s="590">
        <v>50000</v>
      </c>
      <c r="F48" s="11">
        <f>SUMIF('cth sp'!$Q$9:$Q$107,B48,'cth sp'!$R$9:$R$107)</f>
        <v>0</v>
      </c>
      <c r="G48" s="11">
        <f>SUMIF('cth sp'!$Q$9:$Q$107,B48,'cth sp'!$S$9:$S$107)</f>
        <v>0</v>
      </c>
      <c r="H48" s="11">
        <f>SUMIF('cth sp'!$Q$114:$Q$158,B48,'cth sp'!$R$114:$R$158)</f>
        <v>0</v>
      </c>
      <c r="I48" s="11">
        <f>SUMIF('cth sp'!$Q$114:$Q$158,B48,'cth sp'!$S$114:$S$158)</f>
        <v>0</v>
      </c>
      <c r="J48" s="11">
        <f>SUMIF('cth sp'!$Q$159:$Q$389,B48,'cth sp'!$R$159:$R$389)</f>
        <v>0</v>
      </c>
      <c r="K48" s="11">
        <f>SUMIF('cth sp'!$Q$159:$Q$389,B48,'cth sp'!$S$159:$S$389)</f>
        <v>0</v>
      </c>
      <c r="L48" s="11">
        <f t="shared" si="2"/>
        <v>0</v>
      </c>
      <c r="M48" s="11">
        <f t="shared" si="1"/>
        <v>0</v>
      </c>
      <c r="N48" s="11">
        <f t="shared" si="3"/>
        <v>50000</v>
      </c>
    </row>
    <row r="49" spans="1:14" s="406" customFormat="1" x14ac:dyDescent="0.25">
      <c r="A49" s="10">
        <v>42</v>
      </c>
      <c r="B49" s="10" t="s">
        <v>281</v>
      </c>
      <c r="C49" s="10" t="s">
        <v>224</v>
      </c>
      <c r="D49" s="10"/>
      <c r="E49" s="590">
        <v>50000</v>
      </c>
      <c r="F49" s="11">
        <f>SUMIF('cth sp'!$Q$9:$Q$107,B49,'cth sp'!$R$9:$R$107)</f>
        <v>0</v>
      </c>
      <c r="G49" s="11">
        <f>SUMIF('cth sp'!$Q$9:$Q$107,B49,'cth sp'!$S$9:$S$107)</f>
        <v>0</v>
      </c>
      <c r="H49" s="11">
        <f>SUMIF('cth sp'!$Q$114:$Q$158,B49,'cth sp'!$R$114:$R$158)</f>
        <v>0</v>
      </c>
      <c r="I49" s="11">
        <f>SUMIF('cth sp'!$Q$114:$Q$158,B49,'cth sp'!$S$114:$S$158)</f>
        <v>0</v>
      </c>
      <c r="J49" s="11">
        <f>SUMIF('cth sp'!$Q$159:$Q$389,B49,'cth sp'!$R$159:$R$389)</f>
        <v>0</v>
      </c>
      <c r="K49" s="11">
        <f>SUMIF('cth sp'!$Q$159:$Q$389,B49,'cth sp'!$S$159:$S$389)</f>
        <v>0</v>
      </c>
      <c r="L49" s="11">
        <f t="shared" si="2"/>
        <v>0</v>
      </c>
      <c r="M49" s="11">
        <f t="shared" si="1"/>
        <v>0</v>
      </c>
      <c r="N49" s="11">
        <f t="shared" si="3"/>
        <v>50000</v>
      </c>
    </row>
    <row r="50" spans="1:14" s="406" customFormat="1" x14ac:dyDescent="0.25">
      <c r="A50" s="10">
        <v>43</v>
      </c>
      <c r="B50" s="10" t="s">
        <v>282</v>
      </c>
      <c r="C50" s="10" t="s">
        <v>225</v>
      </c>
      <c r="D50" s="10"/>
      <c r="E50" s="590">
        <v>50000</v>
      </c>
      <c r="F50" s="11">
        <f>SUMIF('cth sp'!$Q$9:$Q$107,B50,'cth sp'!$R$9:$R$107)</f>
        <v>0</v>
      </c>
      <c r="G50" s="11">
        <f>SUMIF('cth sp'!$Q$9:$Q$107,B50,'cth sp'!$S$9:$S$107)</f>
        <v>0</v>
      </c>
      <c r="H50" s="11">
        <f>SUMIF('cth sp'!$Q$114:$Q$158,B50,'cth sp'!$R$114:$R$158)</f>
        <v>0</v>
      </c>
      <c r="I50" s="11">
        <f>SUMIF('cth sp'!$Q$114:$Q$158,B50,'cth sp'!$S$114:$S$158)</f>
        <v>0</v>
      </c>
      <c r="J50" s="11">
        <f>SUMIF('cth sp'!$Q$159:$Q$389,B50,'cth sp'!$R$159:$R$389)</f>
        <v>0</v>
      </c>
      <c r="K50" s="11">
        <f>SUMIF('cth sp'!$Q$159:$Q$389,B50,'cth sp'!$S$159:$S$389)</f>
        <v>0</v>
      </c>
      <c r="L50" s="11">
        <f t="shared" si="2"/>
        <v>0</v>
      </c>
      <c r="M50" s="11">
        <f t="shared" si="1"/>
        <v>0</v>
      </c>
      <c r="N50" s="11">
        <f t="shared" si="3"/>
        <v>50000</v>
      </c>
    </row>
    <row r="51" spans="1:14" s="406" customFormat="1" x14ac:dyDescent="0.25">
      <c r="A51" s="10">
        <v>44</v>
      </c>
      <c r="B51" s="10" t="s">
        <v>283</v>
      </c>
      <c r="C51" s="10" t="s">
        <v>226</v>
      </c>
      <c r="D51" s="10"/>
      <c r="E51" s="590">
        <v>50000</v>
      </c>
      <c r="F51" s="11">
        <f>SUMIF('cth sp'!$Q$9:$Q$107,B51,'cth sp'!$R$9:$R$107)</f>
        <v>0</v>
      </c>
      <c r="G51" s="11">
        <f>SUMIF('cth sp'!$Q$9:$Q$107,B51,'cth sp'!$S$9:$S$107)</f>
        <v>0</v>
      </c>
      <c r="H51" s="11">
        <f>SUMIF('cth sp'!$Q$114:$Q$158,B51,'cth sp'!$R$114:$R$158)</f>
        <v>0</v>
      </c>
      <c r="I51" s="11">
        <f>SUMIF('cth sp'!$Q$114:$Q$158,B51,'cth sp'!$S$114:$S$158)</f>
        <v>0</v>
      </c>
      <c r="J51" s="11">
        <f>SUMIF('cth sp'!$Q$159:$Q$389,B51,'cth sp'!$R$159:$R$389)</f>
        <v>0</v>
      </c>
      <c r="K51" s="11">
        <f>SUMIF('cth sp'!$Q$159:$Q$389,B51,'cth sp'!$S$159:$S$389)</f>
        <v>0</v>
      </c>
      <c r="L51" s="11">
        <f t="shared" si="2"/>
        <v>0</v>
      </c>
      <c r="M51" s="11">
        <f t="shared" si="1"/>
        <v>0</v>
      </c>
      <c r="N51" s="11">
        <f t="shared" si="3"/>
        <v>50000</v>
      </c>
    </row>
    <row r="52" spans="1:14" s="406" customFormat="1" x14ac:dyDescent="0.25">
      <c r="A52" s="10">
        <v>45</v>
      </c>
      <c r="B52" s="10" t="s">
        <v>284</v>
      </c>
      <c r="C52" s="10" t="s">
        <v>227</v>
      </c>
      <c r="D52" s="10"/>
      <c r="E52" s="590">
        <v>50000</v>
      </c>
      <c r="F52" s="11">
        <f>SUMIF('cth sp'!$Q$9:$Q$107,B52,'cth sp'!$R$9:$R$107)</f>
        <v>0</v>
      </c>
      <c r="G52" s="11">
        <f>SUMIF('cth sp'!$Q$9:$Q$107,B52,'cth sp'!$S$9:$S$107)</f>
        <v>0</v>
      </c>
      <c r="H52" s="11">
        <f>SUMIF('cth sp'!$Q$114:$Q$158,B52,'cth sp'!$R$114:$R$158)</f>
        <v>0</v>
      </c>
      <c r="I52" s="11">
        <f>SUMIF('cth sp'!$Q$114:$Q$158,B52,'cth sp'!$S$114:$S$158)</f>
        <v>0</v>
      </c>
      <c r="J52" s="11">
        <f>SUMIF('cth sp'!$Q$159:$Q$389,B52,'cth sp'!$R$159:$R$389)</f>
        <v>0</v>
      </c>
      <c r="K52" s="11">
        <f>SUMIF('cth sp'!$Q$159:$Q$389,B52,'cth sp'!$S$159:$S$389)</f>
        <v>0</v>
      </c>
      <c r="L52" s="11">
        <f t="shared" si="2"/>
        <v>0</v>
      </c>
      <c r="M52" s="11">
        <f t="shared" si="1"/>
        <v>0</v>
      </c>
      <c r="N52" s="11">
        <f t="shared" si="3"/>
        <v>50000</v>
      </c>
    </row>
    <row r="53" spans="1:14" s="406" customFormat="1" x14ac:dyDescent="0.25">
      <c r="A53" s="10">
        <v>46</v>
      </c>
      <c r="B53" s="10" t="s">
        <v>285</v>
      </c>
      <c r="C53" s="10" t="s">
        <v>228</v>
      </c>
      <c r="D53" s="10"/>
      <c r="E53" s="590">
        <v>50000</v>
      </c>
      <c r="F53" s="11">
        <f>SUMIF('cth sp'!$Q$9:$Q$107,B53,'cth sp'!$R$9:$R$107)</f>
        <v>0</v>
      </c>
      <c r="G53" s="11">
        <f>SUMIF('cth sp'!$Q$9:$Q$107,B53,'cth sp'!$S$9:$S$107)</f>
        <v>0</v>
      </c>
      <c r="H53" s="11">
        <f>SUMIF('cth sp'!$Q$114:$Q$158,B53,'cth sp'!$R$114:$R$158)</f>
        <v>0</v>
      </c>
      <c r="I53" s="11">
        <f>SUMIF('cth sp'!$Q$114:$Q$158,B53,'cth sp'!$S$114:$S$158)</f>
        <v>0</v>
      </c>
      <c r="J53" s="11">
        <f>SUMIF('cth sp'!$Q$159:$Q$389,B53,'cth sp'!$R$159:$R$389)</f>
        <v>0</v>
      </c>
      <c r="K53" s="11">
        <f>SUMIF('cth sp'!$Q$159:$Q$389,B53,'cth sp'!$S$159:$S$389)</f>
        <v>0</v>
      </c>
      <c r="L53" s="11">
        <f t="shared" si="2"/>
        <v>0</v>
      </c>
      <c r="M53" s="11">
        <f t="shared" si="1"/>
        <v>0</v>
      </c>
      <c r="N53" s="11">
        <f t="shared" si="3"/>
        <v>50000</v>
      </c>
    </row>
    <row r="54" spans="1:14" s="406" customFormat="1" x14ac:dyDescent="0.25">
      <c r="A54" s="10">
        <v>47</v>
      </c>
      <c r="B54" s="10" t="s">
        <v>286</v>
      </c>
      <c r="C54" s="10" t="s">
        <v>361</v>
      </c>
      <c r="D54" s="10"/>
      <c r="E54" s="590">
        <v>50000</v>
      </c>
      <c r="F54" s="11">
        <f>SUMIF('cth sp'!$Q$9:$Q$107,B54,'cth sp'!$R$9:$R$107)</f>
        <v>0</v>
      </c>
      <c r="G54" s="11">
        <f>SUMIF('cth sp'!$Q$9:$Q$107,B54,'cth sp'!$S$9:$S$107)</f>
        <v>0</v>
      </c>
      <c r="H54" s="11">
        <f>SUMIF('cth sp'!$Q$114:$Q$158,B54,'cth sp'!$R$114:$R$158)</f>
        <v>0</v>
      </c>
      <c r="I54" s="11">
        <f>SUMIF('cth sp'!$Q$114:$Q$158,B54,'cth sp'!$S$114:$S$158)</f>
        <v>0</v>
      </c>
      <c r="J54" s="11">
        <f>SUMIF('cth sp'!$Q$159:$Q$389,B54,'cth sp'!$R$159:$R$389)</f>
        <v>0</v>
      </c>
      <c r="K54" s="11">
        <f>SUMIF('cth sp'!$Q$159:$Q$389,B54,'cth sp'!$S$159:$S$389)</f>
        <v>0</v>
      </c>
      <c r="L54" s="11">
        <f t="shared" si="2"/>
        <v>0</v>
      </c>
      <c r="M54" s="11">
        <f t="shared" si="1"/>
        <v>0</v>
      </c>
      <c r="N54" s="11">
        <f t="shared" si="3"/>
        <v>50000</v>
      </c>
    </row>
    <row r="55" spans="1:14" s="406" customFormat="1" x14ac:dyDescent="0.25">
      <c r="A55" s="10">
        <v>48</v>
      </c>
      <c r="B55" s="10" t="s">
        <v>287</v>
      </c>
      <c r="C55" s="10" t="s">
        <v>362</v>
      </c>
      <c r="D55" s="10"/>
      <c r="E55" s="590">
        <v>50000</v>
      </c>
      <c r="F55" s="11">
        <f>SUMIF('cth sp'!$Q$9:$Q$107,B55,'cth sp'!$R$9:$R$107)</f>
        <v>0</v>
      </c>
      <c r="G55" s="11">
        <f>SUMIF('cth sp'!$Q$9:$Q$107,B55,'cth sp'!$S$9:$S$107)</f>
        <v>0</v>
      </c>
      <c r="H55" s="11">
        <f>SUMIF('cth sp'!$Q$114:$Q$158,B55,'cth sp'!$R$114:$R$158)</f>
        <v>0</v>
      </c>
      <c r="I55" s="11">
        <f>SUMIF('cth sp'!$Q$114:$Q$158,B55,'cth sp'!$S$114:$S$158)</f>
        <v>0</v>
      </c>
      <c r="J55" s="11">
        <f>SUMIF('cth sp'!$Q$159:$Q$389,B55,'cth sp'!$R$159:$R$389)</f>
        <v>0</v>
      </c>
      <c r="K55" s="11">
        <f>SUMIF('cth sp'!$Q$159:$Q$389,B55,'cth sp'!$S$159:$S$389)</f>
        <v>0</v>
      </c>
      <c r="L55" s="11">
        <f t="shared" si="2"/>
        <v>0</v>
      </c>
      <c r="M55" s="11">
        <f t="shared" si="1"/>
        <v>0</v>
      </c>
      <c r="N55" s="11">
        <f t="shared" si="3"/>
        <v>50000</v>
      </c>
    </row>
    <row r="56" spans="1:14" s="406" customFormat="1" x14ac:dyDescent="0.25">
      <c r="A56" s="10">
        <v>49</v>
      </c>
      <c r="B56" s="10" t="s">
        <v>288</v>
      </c>
      <c r="C56" s="10" t="s">
        <v>363</v>
      </c>
      <c r="D56" s="10"/>
      <c r="E56" s="590">
        <v>50000</v>
      </c>
      <c r="F56" s="11">
        <f>SUMIF('cth sp'!$Q$9:$Q$107,B56,'cth sp'!$R$9:$R$107)</f>
        <v>0</v>
      </c>
      <c r="G56" s="11">
        <f>SUMIF('cth sp'!$Q$9:$Q$107,B56,'cth sp'!$S$9:$S$107)</f>
        <v>0</v>
      </c>
      <c r="H56" s="11">
        <f>SUMIF('cth sp'!$Q$114:$Q$158,B56,'cth sp'!$R$114:$R$158)</f>
        <v>0</v>
      </c>
      <c r="I56" s="11">
        <f>SUMIF('cth sp'!$Q$114:$Q$158,B56,'cth sp'!$S$114:$S$158)</f>
        <v>0</v>
      </c>
      <c r="J56" s="11">
        <f>SUMIF('cth sp'!$Q$159:$Q$389,B56,'cth sp'!$R$159:$R$389)</f>
        <v>0</v>
      </c>
      <c r="K56" s="11">
        <f>SUMIF('cth sp'!$Q$159:$Q$389,B56,'cth sp'!$S$159:$S$389)</f>
        <v>0</v>
      </c>
      <c r="L56" s="11">
        <f t="shared" si="2"/>
        <v>0</v>
      </c>
      <c r="M56" s="11">
        <f t="shared" si="1"/>
        <v>0</v>
      </c>
      <c r="N56" s="11">
        <f t="shared" si="3"/>
        <v>50000</v>
      </c>
    </row>
    <row r="57" spans="1:14" s="830" customFormat="1" x14ac:dyDescent="0.25">
      <c r="A57" s="832">
        <v>50</v>
      </c>
      <c r="B57" s="832" t="s">
        <v>289</v>
      </c>
      <c r="C57" s="832" t="s">
        <v>364</v>
      </c>
      <c r="D57" s="832"/>
      <c r="E57" s="834">
        <v>0</v>
      </c>
      <c r="F57" s="599">
        <f>SUMIF('cth sp'!$Q$9:$Q$107,B57,'cth sp'!$R$9:$R$107)</f>
        <v>0</v>
      </c>
      <c r="G57" s="599">
        <f>SUMIF('cth sp'!$Q$9:$Q$107,B57,'cth sp'!$S$9:$S$107)</f>
        <v>0</v>
      </c>
      <c r="H57" s="599">
        <f>SUMIF('cth sp'!$Q$114:$Q$158,B57,'cth sp'!$R$114:$R$158)</f>
        <v>0</v>
      </c>
      <c r="I57" s="599">
        <f>SUMIF('cth sp'!$Q$114:$Q$158,B57,'cth sp'!$S$114:$S$158)</f>
        <v>0</v>
      </c>
      <c r="J57" s="599">
        <f>SUMIF('cth sp'!$Q$159:$Q$389,B57,'cth sp'!$R$159:$R$389)</f>
        <v>0</v>
      </c>
      <c r="K57" s="599">
        <f>SUMIF('cth sp'!$Q$159:$Q$389,B57,'cth sp'!$S$159:$S$389)</f>
        <v>0</v>
      </c>
      <c r="L57" s="599">
        <f t="shared" si="2"/>
        <v>0</v>
      </c>
      <c r="M57" s="599">
        <f t="shared" si="1"/>
        <v>0</v>
      </c>
      <c r="N57" s="599">
        <f t="shared" si="3"/>
        <v>0</v>
      </c>
    </row>
    <row r="58" spans="1:14" s="406" customFormat="1" x14ac:dyDescent="0.25">
      <c r="A58" s="10">
        <v>51</v>
      </c>
      <c r="B58" s="10" t="s">
        <v>290</v>
      </c>
      <c r="C58" s="10" t="s">
        <v>365</v>
      </c>
      <c r="D58" s="10"/>
      <c r="E58" s="590">
        <v>50000</v>
      </c>
      <c r="F58" s="11">
        <f>SUMIF('cth sp'!$Q$9:$Q$107,B58,'cth sp'!$R$9:$R$107)</f>
        <v>0</v>
      </c>
      <c r="G58" s="11">
        <f>SUMIF('cth sp'!$Q$9:$Q$107,B58,'cth sp'!$S$9:$S$107)</f>
        <v>0</v>
      </c>
      <c r="H58" s="11">
        <f>SUMIF('cth sp'!$Q$114:$Q$158,B58,'cth sp'!$R$114:$R$158)</f>
        <v>0</v>
      </c>
      <c r="I58" s="11">
        <f>SUMIF('cth sp'!$Q$114:$Q$158,B58,'cth sp'!$S$114:$S$158)</f>
        <v>0</v>
      </c>
      <c r="J58" s="11">
        <f>SUMIF('cth sp'!$Q$159:$Q$389,B58,'cth sp'!$R$159:$R$389)</f>
        <v>0</v>
      </c>
      <c r="K58" s="11">
        <f>SUMIF('cth sp'!$Q$159:$Q$389,B58,'cth sp'!$S$159:$S$389)</f>
        <v>0</v>
      </c>
      <c r="L58" s="11">
        <f t="shared" si="2"/>
        <v>0</v>
      </c>
      <c r="M58" s="11">
        <f t="shared" si="1"/>
        <v>0</v>
      </c>
      <c r="N58" s="11">
        <f t="shared" si="3"/>
        <v>50000</v>
      </c>
    </row>
    <row r="59" spans="1:14" s="406" customFormat="1" x14ac:dyDescent="0.25">
      <c r="A59" s="10">
        <v>52</v>
      </c>
      <c r="B59" s="10" t="s">
        <v>291</v>
      </c>
      <c r="C59" s="10" t="s">
        <v>366</v>
      </c>
      <c r="D59" s="10"/>
      <c r="E59" s="590">
        <v>50000</v>
      </c>
      <c r="F59" s="11">
        <f>SUMIF('cth sp'!$Q$9:$Q$107,B59,'cth sp'!$R$9:$R$107)</f>
        <v>0</v>
      </c>
      <c r="G59" s="11">
        <f>SUMIF('cth sp'!$Q$9:$Q$107,B59,'cth sp'!$S$9:$S$107)</f>
        <v>0</v>
      </c>
      <c r="H59" s="11">
        <f>SUMIF('cth sp'!$Q$114:$Q$158,B59,'cth sp'!$R$114:$R$158)</f>
        <v>0</v>
      </c>
      <c r="I59" s="11">
        <f>SUMIF('cth sp'!$Q$114:$Q$158,B59,'cth sp'!$S$114:$S$158)</f>
        <v>0</v>
      </c>
      <c r="J59" s="11">
        <f>SUMIF('cth sp'!$Q$159:$Q$389,B59,'cth sp'!$R$159:$R$389)</f>
        <v>0</v>
      </c>
      <c r="K59" s="11">
        <f>SUMIF('cth sp'!$Q$159:$Q$389,B59,'cth sp'!$S$159:$S$389)</f>
        <v>0</v>
      </c>
      <c r="L59" s="11">
        <f t="shared" si="2"/>
        <v>0</v>
      </c>
      <c r="M59" s="11">
        <f t="shared" si="1"/>
        <v>0</v>
      </c>
      <c r="N59" s="11">
        <f t="shared" si="3"/>
        <v>50000</v>
      </c>
    </row>
    <row r="60" spans="1:14" s="406" customFormat="1" x14ac:dyDescent="0.25">
      <c r="A60" s="10">
        <v>53</v>
      </c>
      <c r="B60" s="10" t="s">
        <v>292</v>
      </c>
      <c r="C60" s="10" t="s">
        <v>367</v>
      </c>
      <c r="D60" s="10"/>
      <c r="E60" s="590">
        <v>50000</v>
      </c>
      <c r="F60" s="11">
        <f>SUMIF('cth sp'!$Q$9:$Q$107,B60,'cth sp'!$R$9:$R$107)</f>
        <v>0</v>
      </c>
      <c r="G60" s="11">
        <f>SUMIF('cth sp'!$Q$9:$Q$107,B60,'cth sp'!$S$9:$S$107)</f>
        <v>0</v>
      </c>
      <c r="H60" s="11">
        <f>SUMIF('cth sp'!$Q$114:$Q$158,B60,'cth sp'!$R$114:$R$158)</f>
        <v>0</v>
      </c>
      <c r="I60" s="11">
        <f>SUMIF('cth sp'!$Q$114:$Q$158,B60,'cth sp'!$S$114:$S$158)</f>
        <v>0</v>
      </c>
      <c r="J60" s="11">
        <f>SUMIF('cth sp'!$Q$159:$Q$389,B60,'cth sp'!$R$159:$R$389)</f>
        <v>0</v>
      </c>
      <c r="K60" s="11">
        <f>SUMIF('cth sp'!$Q$159:$Q$389,B60,'cth sp'!$S$159:$S$389)</f>
        <v>0</v>
      </c>
      <c r="L60" s="11">
        <f t="shared" si="2"/>
        <v>0</v>
      </c>
      <c r="M60" s="11">
        <f t="shared" si="1"/>
        <v>0</v>
      </c>
      <c r="N60" s="11">
        <f t="shared" si="3"/>
        <v>50000</v>
      </c>
    </row>
    <row r="61" spans="1:14" s="406" customFormat="1" x14ac:dyDescent="0.25">
      <c r="A61" s="10">
        <v>54</v>
      </c>
      <c r="B61" s="10" t="s">
        <v>293</v>
      </c>
      <c r="C61" s="10" t="s">
        <v>368</v>
      </c>
      <c r="D61" s="10"/>
      <c r="E61" s="590">
        <v>50000</v>
      </c>
      <c r="F61" s="11">
        <f>SUMIF('cth sp'!$Q$9:$Q$107,B61,'cth sp'!$R$9:$R$107)</f>
        <v>0</v>
      </c>
      <c r="G61" s="11">
        <f>SUMIF('cth sp'!$Q$9:$Q$107,B61,'cth sp'!$S$9:$S$107)</f>
        <v>0</v>
      </c>
      <c r="H61" s="11">
        <f>SUMIF('cth sp'!$Q$114:$Q$158,B61,'cth sp'!$R$114:$R$158)</f>
        <v>0</v>
      </c>
      <c r="I61" s="11">
        <f>SUMIF('cth sp'!$Q$114:$Q$158,B61,'cth sp'!$S$114:$S$158)</f>
        <v>0</v>
      </c>
      <c r="J61" s="11">
        <f>SUMIF('cth sp'!$Q$159:$Q$389,B61,'cth sp'!$R$159:$R$389)</f>
        <v>0</v>
      </c>
      <c r="K61" s="11">
        <f>SUMIF('cth sp'!$Q$159:$Q$389,B61,'cth sp'!$S$159:$S$389)</f>
        <v>0</v>
      </c>
      <c r="L61" s="11">
        <f t="shared" si="2"/>
        <v>0</v>
      </c>
      <c r="M61" s="11">
        <f t="shared" si="1"/>
        <v>0</v>
      </c>
      <c r="N61" s="11">
        <f t="shared" si="3"/>
        <v>50000</v>
      </c>
    </row>
    <row r="62" spans="1:14" s="406" customFormat="1" x14ac:dyDescent="0.25">
      <c r="A62" s="10">
        <v>55</v>
      </c>
      <c r="B62" s="10" t="s">
        <v>294</v>
      </c>
      <c r="C62" s="10" t="s">
        <v>378</v>
      </c>
      <c r="D62" s="10"/>
      <c r="E62" s="590">
        <v>50000</v>
      </c>
      <c r="F62" s="11">
        <f>SUMIF('cth sp'!$Q$9:$Q$107,B62,'cth sp'!$R$9:$R$107)</f>
        <v>0</v>
      </c>
      <c r="G62" s="11">
        <f>SUMIF('cth sp'!$Q$9:$Q$107,B62,'cth sp'!$S$9:$S$107)</f>
        <v>0</v>
      </c>
      <c r="H62" s="11">
        <f>SUMIF('cth sp'!$Q$114:$Q$158,B62,'cth sp'!$R$114:$R$158)</f>
        <v>0</v>
      </c>
      <c r="I62" s="11">
        <f>SUMIF('cth sp'!$Q$114:$Q$158,B62,'cth sp'!$S$114:$S$158)</f>
        <v>0</v>
      </c>
      <c r="J62" s="11">
        <f>SUMIF('cth sp'!$Q$159:$Q$389,B62,'cth sp'!$R$159:$R$389)</f>
        <v>0</v>
      </c>
      <c r="K62" s="11">
        <f>SUMIF('cth sp'!$Q$159:$Q$389,B62,'cth sp'!$S$159:$S$389)</f>
        <v>0</v>
      </c>
      <c r="L62" s="11">
        <f t="shared" si="2"/>
        <v>0</v>
      </c>
      <c r="M62" s="11">
        <f t="shared" si="1"/>
        <v>0</v>
      </c>
      <c r="N62" s="11">
        <f t="shared" si="3"/>
        <v>50000</v>
      </c>
    </row>
    <row r="63" spans="1:14" s="406" customFormat="1" x14ac:dyDescent="0.25">
      <c r="A63" s="10">
        <v>56</v>
      </c>
      <c r="B63" s="10" t="s">
        <v>369</v>
      </c>
      <c r="C63" s="10" t="s">
        <v>379</v>
      </c>
      <c r="D63" s="10"/>
      <c r="E63" s="590">
        <v>50000</v>
      </c>
      <c r="F63" s="11">
        <f>SUMIF('cth sp'!$Q$9:$Q$107,B63,'cth sp'!$R$9:$R$107)</f>
        <v>0</v>
      </c>
      <c r="G63" s="11">
        <f>SUMIF('cth sp'!$Q$9:$Q$107,B63,'cth sp'!$S$9:$S$107)</f>
        <v>0</v>
      </c>
      <c r="H63" s="11">
        <f>SUMIF('cth sp'!$Q$114:$Q$158,B63,'cth sp'!$R$114:$R$158)</f>
        <v>0</v>
      </c>
      <c r="I63" s="11">
        <f>SUMIF('cth sp'!$Q$114:$Q$158,B63,'cth sp'!$S$114:$S$158)</f>
        <v>0</v>
      </c>
      <c r="J63" s="11">
        <f>SUMIF('cth sp'!$Q$159:$Q$389,B63,'cth sp'!$R$159:$R$389)</f>
        <v>0</v>
      </c>
      <c r="K63" s="11">
        <f>SUMIF('cth sp'!$Q$159:$Q$389,B63,'cth sp'!$S$159:$S$389)</f>
        <v>0</v>
      </c>
      <c r="L63" s="11">
        <f t="shared" si="2"/>
        <v>0</v>
      </c>
      <c r="M63" s="11">
        <f t="shared" si="1"/>
        <v>0</v>
      </c>
      <c r="N63" s="11">
        <f t="shared" si="3"/>
        <v>50000</v>
      </c>
    </row>
    <row r="64" spans="1:14" s="406" customFormat="1" x14ac:dyDescent="0.25">
      <c r="A64" s="10">
        <v>57</v>
      </c>
      <c r="B64" s="10" t="s">
        <v>370</v>
      </c>
      <c r="C64" s="10" t="s">
        <v>380</v>
      </c>
      <c r="D64" s="10"/>
      <c r="E64" s="590">
        <v>50000</v>
      </c>
      <c r="F64" s="11">
        <f>SUMIF('cth sp'!$Q$9:$Q$107,B64,'cth sp'!$R$9:$R$107)</f>
        <v>0</v>
      </c>
      <c r="G64" s="11">
        <f>SUMIF('cth sp'!$Q$9:$Q$107,B64,'cth sp'!$S$9:$S$107)</f>
        <v>0</v>
      </c>
      <c r="H64" s="11">
        <f>SUMIF('cth sp'!$Q$114:$Q$158,B64,'cth sp'!$R$114:$R$158)</f>
        <v>0</v>
      </c>
      <c r="I64" s="11">
        <f>SUMIF('cth sp'!$Q$114:$Q$158,B64,'cth sp'!$S$114:$S$158)</f>
        <v>0</v>
      </c>
      <c r="J64" s="11">
        <f>SUMIF('cth sp'!$Q$159:$Q$389,B64,'cth sp'!$R$159:$R$389)</f>
        <v>0</v>
      </c>
      <c r="K64" s="11">
        <f>SUMIF('cth sp'!$Q$159:$Q$389,B64,'cth sp'!$S$159:$S$389)</f>
        <v>0</v>
      </c>
      <c r="L64" s="11">
        <f t="shared" si="2"/>
        <v>0</v>
      </c>
      <c r="M64" s="11">
        <f t="shared" si="1"/>
        <v>0</v>
      </c>
      <c r="N64" s="11">
        <f t="shared" si="3"/>
        <v>50000</v>
      </c>
    </row>
    <row r="65" spans="1:14" s="406" customFormat="1" x14ac:dyDescent="0.25">
      <c r="A65" s="10">
        <v>58</v>
      </c>
      <c r="B65" s="10" t="s">
        <v>371</v>
      </c>
      <c r="C65" s="10" t="s">
        <v>381</v>
      </c>
      <c r="D65" s="10"/>
      <c r="E65" s="590">
        <v>50000</v>
      </c>
      <c r="F65" s="11">
        <f>SUMIF('cth sp'!$Q$9:$Q$107,B65,'cth sp'!$R$9:$R$107)</f>
        <v>0</v>
      </c>
      <c r="G65" s="11">
        <f>SUMIF('cth sp'!$Q$9:$Q$107,B65,'cth sp'!$S$9:$S$107)</f>
        <v>0</v>
      </c>
      <c r="H65" s="11">
        <f>SUMIF('cth sp'!$Q$114:$Q$158,B65,'cth sp'!$R$114:$R$158)</f>
        <v>0</v>
      </c>
      <c r="I65" s="11">
        <f>SUMIF('cth sp'!$Q$114:$Q$158,B65,'cth sp'!$S$114:$S$158)</f>
        <v>0</v>
      </c>
      <c r="J65" s="11">
        <f>SUMIF('cth sp'!$Q$159:$Q$389,B65,'cth sp'!$R$159:$R$389)</f>
        <v>0</v>
      </c>
      <c r="K65" s="11">
        <f>SUMIF('cth sp'!$Q$159:$Q$389,B65,'cth sp'!$S$159:$S$389)</f>
        <v>0</v>
      </c>
      <c r="L65" s="11">
        <f t="shared" si="2"/>
        <v>0</v>
      </c>
      <c r="M65" s="11">
        <f t="shared" si="1"/>
        <v>0</v>
      </c>
      <c r="N65" s="11">
        <f t="shared" si="3"/>
        <v>50000</v>
      </c>
    </row>
    <row r="66" spans="1:14" s="406" customFormat="1" x14ac:dyDescent="0.25">
      <c r="A66" s="10">
        <v>59</v>
      </c>
      <c r="B66" s="10" t="s">
        <v>372</v>
      </c>
      <c r="C66" s="10" t="s">
        <v>382</v>
      </c>
      <c r="D66" s="10"/>
      <c r="E66" s="590">
        <v>50000</v>
      </c>
      <c r="F66" s="11">
        <f>SUMIF('cth sp'!$Q$9:$Q$107,B66,'cth sp'!$R$9:$R$107)</f>
        <v>0</v>
      </c>
      <c r="G66" s="11">
        <f>SUMIF('cth sp'!$Q$9:$Q$107,B66,'cth sp'!$S$9:$S$107)</f>
        <v>0</v>
      </c>
      <c r="H66" s="11">
        <f>SUMIF('cth sp'!$Q$114:$Q$158,B66,'cth sp'!$R$114:$R$158)</f>
        <v>0</v>
      </c>
      <c r="I66" s="11">
        <f>SUMIF('cth sp'!$Q$114:$Q$158,B66,'cth sp'!$S$114:$S$158)</f>
        <v>0</v>
      </c>
      <c r="J66" s="11">
        <f>SUMIF('cth sp'!$Q$159:$Q$389,B66,'cth sp'!$R$159:$R$389)</f>
        <v>0</v>
      </c>
      <c r="K66" s="11">
        <f>SUMIF('cth sp'!$Q$159:$Q$389,B66,'cth sp'!$S$159:$S$389)</f>
        <v>0</v>
      </c>
      <c r="L66" s="11">
        <f t="shared" ref="L66:L71" si="4">F66+H66+J66</f>
        <v>0</v>
      </c>
      <c r="M66" s="11">
        <f t="shared" ref="M66:M71" si="5">G66+I66+K66</f>
        <v>0</v>
      </c>
      <c r="N66" s="11">
        <f t="shared" si="3"/>
        <v>50000</v>
      </c>
    </row>
    <row r="67" spans="1:14" s="406" customFormat="1" x14ac:dyDescent="0.25">
      <c r="A67" s="10">
        <v>60</v>
      </c>
      <c r="B67" s="10" t="s">
        <v>373</v>
      </c>
      <c r="C67" s="10" t="s">
        <v>383</v>
      </c>
      <c r="D67" s="10"/>
      <c r="E67" s="590">
        <v>50000</v>
      </c>
      <c r="F67" s="11">
        <f>SUMIF('cth sp'!$Q$9:$Q$107,B67,'cth sp'!$R$9:$R$107)</f>
        <v>0</v>
      </c>
      <c r="G67" s="11">
        <f>SUMIF('cth sp'!$Q$9:$Q$107,B67,'cth sp'!$S$9:$S$107)</f>
        <v>0</v>
      </c>
      <c r="H67" s="11">
        <f>SUMIF('cth sp'!$Q$114:$Q$158,B67,'cth sp'!$R$114:$R$158)</f>
        <v>0</v>
      </c>
      <c r="I67" s="11">
        <f>SUMIF('cth sp'!$Q$114:$Q$158,B67,'cth sp'!$S$114:$S$158)</f>
        <v>0</v>
      </c>
      <c r="J67" s="11">
        <f>SUMIF('cth sp'!$Q$159:$Q$389,B67,'cth sp'!$R$159:$R$389)</f>
        <v>0</v>
      </c>
      <c r="K67" s="11">
        <f>SUMIF('cth sp'!$Q$159:$Q$389,B67,'cth sp'!$S$159:$S$389)</f>
        <v>0</v>
      </c>
      <c r="L67" s="11">
        <f t="shared" si="4"/>
        <v>0</v>
      </c>
      <c r="M67" s="11">
        <f t="shared" si="5"/>
        <v>0</v>
      </c>
      <c r="N67" s="11">
        <f t="shared" si="3"/>
        <v>50000</v>
      </c>
    </row>
    <row r="68" spans="1:14" s="406" customFormat="1" x14ac:dyDescent="0.25">
      <c r="A68" s="10">
        <v>61</v>
      </c>
      <c r="B68" s="12" t="s">
        <v>374</v>
      </c>
      <c r="C68" s="10" t="s">
        <v>384</v>
      </c>
      <c r="D68" s="10"/>
      <c r="E68" s="590">
        <v>50000</v>
      </c>
      <c r="F68" s="11">
        <f>SUMIF('cth sp'!$Q$9:$Q$107,B68,'cth sp'!$R$9:$R$107)</f>
        <v>0</v>
      </c>
      <c r="G68" s="11">
        <f>SUMIF('cth sp'!$Q$9:$Q$107,B68,'cth sp'!$S$9:$S$107)</f>
        <v>0</v>
      </c>
      <c r="H68" s="11">
        <f>SUMIF('cth sp'!$Q$114:$Q$158,B68,'cth sp'!$R$114:$R$158)</f>
        <v>0</v>
      </c>
      <c r="I68" s="11">
        <f>SUMIF('cth sp'!$Q$114:$Q$158,B68,'cth sp'!$S$114:$S$158)</f>
        <v>0</v>
      </c>
      <c r="J68" s="11">
        <f>SUMIF('cth sp'!$Q$159:$Q$389,B68,'cth sp'!$R$159:$R$389)</f>
        <v>0</v>
      </c>
      <c r="K68" s="11">
        <f>SUMIF('cth sp'!$Q$159:$Q$389,B68,'cth sp'!$S$159:$S$389)</f>
        <v>0</v>
      </c>
      <c r="L68" s="11">
        <f t="shared" si="4"/>
        <v>0</v>
      </c>
      <c r="M68" s="11">
        <f t="shared" si="5"/>
        <v>0</v>
      </c>
      <c r="N68" s="11">
        <f t="shared" si="3"/>
        <v>50000</v>
      </c>
    </row>
    <row r="69" spans="1:14" s="406" customFormat="1" x14ac:dyDescent="0.25">
      <c r="A69" s="10">
        <v>62</v>
      </c>
      <c r="B69" s="10" t="s">
        <v>375</v>
      </c>
      <c r="C69" s="10" t="s">
        <v>385</v>
      </c>
      <c r="D69" s="10"/>
      <c r="E69" s="590">
        <v>50000</v>
      </c>
      <c r="F69" s="11">
        <f>SUMIF('cth sp'!$Q$9:$Q$107,B69,'cth sp'!$R$9:$R$107)</f>
        <v>0</v>
      </c>
      <c r="G69" s="11">
        <f>SUMIF('cth sp'!$Q$9:$Q$107,B69,'cth sp'!$S$9:$S$107)</f>
        <v>0</v>
      </c>
      <c r="H69" s="11">
        <f>SUMIF('cth sp'!$Q$114:$Q$158,B69,'cth sp'!$R$114:$R$158)</f>
        <v>0</v>
      </c>
      <c r="I69" s="11">
        <f>SUMIF('cth sp'!$Q$114:$Q$158,B69,'cth sp'!$S$114:$S$158)</f>
        <v>0</v>
      </c>
      <c r="J69" s="11">
        <f>SUMIF('cth sp'!$Q$159:$Q$389,B69,'cth sp'!$R$159:$R$389)</f>
        <v>0</v>
      </c>
      <c r="K69" s="11">
        <f>SUMIF('cth sp'!$Q$159:$Q$389,B69,'cth sp'!$S$159:$S$389)</f>
        <v>0</v>
      </c>
      <c r="L69" s="11">
        <f t="shared" si="4"/>
        <v>0</v>
      </c>
      <c r="M69" s="11">
        <f t="shared" si="5"/>
        <v>0</v>
      </c>
      <c r="N69" s="11">
        <f t="shared" si="3"/>
        <v>50000</v>
      </c>
    </row>
    <row r="70" spans="1:14" s="406" customFormat="1" x14ac:dyDescent="0.25">
      <c r="A70" s="10">
        <v>63</v>
      </c>
      <c r="B70" s="10" t="s">
        <v>376</v>
      </c>
      <c r="C70" s="10" t="s">
        <v>386</v>
      </c>
      <c r="D70" s="10"/>
      <c r="E70" s="590">
        <v>50000</v>
      </c>
      <c r="F70" s="11">
        <f>SUMIF('cth sp'!$Q$9:$Q$107,B70,'cth sp'!$R$9:$R$107)</f>
        <v>0</v>
      </c>
      <c r="G70" s="11">
        <f>SUMIF('cth sp'!$Q$9:$Q$107,B70,'cth sp'!$S$9:$S$107)</f>
        <v>0</v>
      </c>
      <c r="H70" s="11">
        <f>SUMIF('cth sp'!$Q$114:$Q$158,B70,'cth sp'!$R$114:$R$158)</f>
        <v>0</v>
      </c>
      <c r="I70" s="11">
        <f>SUMIF('cth sp'!$Q$114:$Q$158,B70,'cth sp'!$S$114:$S$158)</f>
        <v>0</v>
      </c>
      <c r="J70" s="11">
        <f>SUMIF('cth sp'!$Q$159:$Q$389,B70,'cth sp'!$R$159:$R$389)</f>
        <v>0</v>
      </c>
      <c r="K70" s="11">
        <f>SUMIF('cth sp'!$Q$159:$Q$389,B70,'cth sp'!$S$159:$S$389)</f>
        <v>0</v>
      </c>
      <c r="L70" s="11">
        <f t="shared" si="4"/>
        <v>0</v>
      </c>
      <c r="M70" s="11">
        <f t="shared" si="5"/>
        <v>0</v>
      </c>
      <c r="N70" s="11">
        <f t="shared" si="3"/>
        <v>50000</v>
      </c>
    </row>
    <row r="71" spans="1:14" x14ac:dyDescent="0.25">
      <c r="A71" s="10">
        <v>64</v>
      </c>
      <c r="B71" s="10" t="s">
        <v>377</v>
      </c>
      <c r="C71" s="10" t="s">
        <v>387</v>
      </c>
      <c r="D71" s="10"/>
      <c r="E71" s="425">
        <v>50000</v>
      </c>
      <c r="F71" s="11">
        <f>SUMIF('cth sp'!$Q$9:$Q$107,B71,'cth sp'!$R$9:$R$107)</f>
        <v>0</v>
      </c>
      <c r="G71" s="11">
        <f>SUMIF('cth sp'!$Q$9:$Q$107,B71,'cth sp'!$S$9:$S$107)</f>
        <v>0</v>
      </c>
      <c r="H71" s="11">
        <f>SUMIF('cth sp'!$Q$114:$Q$158,B71,'cth sp'!$R$114:$R$158)</f>
        <v>0</v>
      </c>
      <c r="I71" s="11">
        <f>SUMIF('cth sp'!$Q$114:$Q$158,B71,'cth sp'!$S$114:$S$158)</f>
        <v>0</v>
      </c>
      <c r="J71" s="11">
        <f>SUMIF('cth sp'!$Q$159:$Q$389,B71,'cth sp'!$R$159:$R$389)</f>
        <v>0</v>
      </c>
      <c r="K71" s="11">
        <f>SUMIF('cth sp'!$Q$159:$Q$389,B71,'cth sp'!$S$159:$S$389)</f>
        <v>0</v>
      </c>
      <c r="L71" s="11">
        <f t="shared" si="4"/>
        <v>0</v>
      </c>
      <c r="M71" s="11">
        <f t="shared" si="5"/>
        <v>0</v>
      </c>
      <c r="N71" s="11">
        <f t="shared" ref="N71" si="6">E71+L71-M71</f>
        <v>50000</v>
      </c>
    </row>
    <row r="72" spans="1:14" s="830" customFormat="1" x14ac:dyDescent="0.25">
      <c r="A72" s="832"/>
      <c r="B72" s="832" t="s">
        <v>740</v>
      </c>
      <c r="C72" s="832" t="s">
        <v>739</v>
      </c>
      <c r="D72" s="832"/>
      <c r="E72" s="834">
        <v>0</v>
      </c>
      <c r="F72" s="599">
        <f>SUMIF('cth sp'!$Q$9:$Q$107,B72,'cth sp'!$R$9:$R$107)</f>
        <v>0</v>
      </c>
      <c r="G72" s="599">
        <f>SUMIF('cth sp'!$Q$9:$Q$107,B72,'cth sp'!$S$9:$S$107)</f>
        <v>0</v>
      </c>
      <c r="H72" s="599">
        <f>SUMIF('cth sp'!$Q$114:$Q$158,B72,'cth sp'!$R$114:$R$158)</f>
        <v>0</v>
      </c>
      <c r="I72" s="599">
        <f>SUMIF('cth sp'!$Q$114:$Q$158,B72,'cth sp'!$S$114:$S$158)</f>
        <v>0</v>
      </c>
      <c r="J72" s="599">
        <f>SUMIF('cth sp'!$Q$159:$Q$389,B72,'cth sp'!$R$159:$R$389)</f>
        <v>0</v>
      </c>
      <c r="K72" s="599">
        <f>SUMIF('cth sp'!$Q$159:$Q$389,B72,'cth sp'!$S$159:$S$389)</f>
        <v>0</v>
      </c>
      <c r="L72" s="599">
        <f t="shared" ref="L72" si="7">F72+H72+J72</f>
        <v>0</v>
      </c>
      <c r="M72" s="599">
        <f t="shared" ref="M72" si="8">G72+I72+K72</f>
        <v>0</v>
      </c>
      <c r="N72" s="599">
        <f>L72-M72</f>
        <v>0</v>
      </c>
    </row>
    <row r="73" spans="1:14" s="1" customFormat="1" x14ac:dyDescent="0.25">
      <c r="A73" s="586"/>
      <c r="B73" s="586"/>
      <c r="C73" s="586"/>
      <c r="D73" s="586"/>
      <c r="E73" s="587">
        <f>SUM(E7:E72)</f>
        <v>2800000</v>
      </c>
      <c r="F73" s="586">
        <f>SUM(F7:F72)</f>
        <v>0</v>
      </c>
      <c r="G73" s="586">
        <f t="shared" ref="G73:M73" si="9">SUM(G7:G72)</f>
        <v>0</v>
      </c>
      <c r="H73" s="586">
        <f t="shared" si="9"/>
        <v>0</v>
      </c>
      <c r="I73" s="586">
        <f t="shared" si="9"/>
        <v>50000</v>
      </c>
      <c r="J73" s="586">
        <f t="shared" si="9"/>
        <v>0</v>
      </c>
      <c r="K73" s="586">
        <f t="shared" si="9"/>
        <v>0</v>
      </c>
      <c r="L73" s="586">
        <f t="shared" si="9"/>
        <v>0</v>
      </c>
      <c r="M73" s="586">
        <f t="shared" si="9"/>
        <v>50000</v>
      </c>
      <c r="N73" s="586">
        <f>SUM(N7:N72)</f>
        <v>2750000</v>
      </c>
    </row>
    <row r="74" spans="1:14" x14ac:dyDescent="0.25">
      <c r="A74" s="407"/>
      <c r="B74" s="407"/>
      <c r="C74" s="407"/>
      <c r="D74" s="407"/>
      <c r="E74" s="587"/>
      <c r="F74" s="586"/>
      <c r="G74" s="586"/>
      <c r="H74" s="586"/>
      <c r="I74" s="586"/>
      <c r="J74" s="407"/>
      <c r="K74" s="407"/>
      <c r="L74" s="586"/>
      <c r="M74" s="586"/>
      <c r="N74" s="586"/>
    </row>
    <row r="76" spans="1:14" x14ac:dyDescent="0.25">
      <c r="I76" s="1" t="str">
        <f>NERACA!I34</f>
        <v>Balongbesuk, 15 Januari 2025</v>
      </c>
    </row>
    <row r="77" spans="1:14" x14ac:dyDescent="0.25">
      <c r="B77" s="369"/>
      <c r="C77" s="369" t="s">
        <v>506</v>
      </c>
      <c r="D77" s="369"/>
      <c r="I77" s="1" t="s">
        <v>503</v>
      </c>
      <c r="K77" s="15" t="str">
        <f>piutang!J89</f>
        <v>Dibuat Oleh;</v>
      </c>
    </row>
    <row r="78" spans="1:14" x14ac:dyDescent="0.25">
      <c r="I78" s="1" t="s">
        <v>507</v>
      </c>
    </row>
    <row r="81" spans="1:14" ht="17.25" x14ac:dyDescent="0.4">
      <c r="B81" s="25"/>
      <c r="C81" s="25" t="str">
        <f>NERACA!I39</f>
        <v>DODIK SUSANTO, S.Fil.I</v>
      </c>
      <c r="D81" s="25"/>
      <c r="G81" s="412"/>
      <c r="K81" s="17" t="str">
        <f>piutang!J94</f>
        <v>MAMIK KURNIAWATI</v>
      </c>
    </row>
    <row r="82" spans="1:14" ht="17.25" x14ac:dyDescent="0.4">
      <c r="B82" s="1"/>
      <c r="C82" s="1" t="s">
        <v>505</v>
      </c>
      <c r="D82" s="1"/>
      <c r="I82" s="25" t="s">
        <v>504</v>
      </c>
      <c r="K82" s="15" t="str">
        <f>piutang!J95</f>
        <v>Bendahara BUMDesa "BAROKAH"</v>
      </c>
    </row>
    <row r="84" spans="1:14" s="26" customFormat="1" ht="18.75" x14ac:dyDescent="0.3">
      <c r="A84" s="26" t="s">
        <v>296</v>
      </c>
      <c r="E84" s="552"/>
      <c r="F84" s="27"/>
      <c r="G84" s="27"/>
      <c r="H84" s="27"/>
      <c r="I84" s="27"/>
      <c r="L84" s="27"/>
      <c r="M84" s="27"/>
      <c r="N84" s="27"/>
    </row>
    <row r="85" spans="1:14" x14ac:dyDescent="0.25">
      <c r="A85" t="s">
        <v>237</v>
      </c>
    </row>
    <row r="86" spans="1:14" x14ac:dyDescent="0.25">
      <c r="A86" s="369" t="s">
        <v>733</v>
      </c>
    </row>
    <row r="87" spans="1:14" x14ac:dyDescent="0.25">
      <c r="A87" s="879" t="s">
        <v>8</v>
      </c>
      <c r="B87" s="879" t="s">
        <v>9</v>
      </c>
      <c r="C87" s="879" t="s">
        <v>10</v>
      </c>
      <c r="D87" s="603"/>
      <c r="E87" s="883" t="s">
        <v>888</v>
      </c>
      <c r="F87" s="879" t="s">
        <v>889</v>
      </c>
      <c r="G87" s="879"/>
      <c r="H87" s="879"/>
      <c r="I87" s="879"/>
      <c r="J87" s="879"/>
      <c r="K87" s="879"/>
      <c r="L87" s="880" t="s">
        <v>11</v>
      </c>
      <c r="M87" s="880" t="s">
        <v>12</v>
      </c>
      <c r="N87" s="882" t="s">
        <v>13</v>
      </c>
    </row>
    <row r="88" spans="1:14" x14ac:dyDescent="0.25">
      <c r="A88" s="879"/>
      <c r="B88" s="879"/>
      <c r="C88" s="879"/>
      <c r="D88" s="603"/>
      <c r="E88" s="884"/>
      <c r="F88" s="880" t="s">
        <v>16</v>
      </c>
      <c r="G88" s="880"/>
      <c r="H88" s="880" t="s">
        <v>14</v>
      </c>
      <c r="I88" s="880"/>
      <c r="J88" s="879" t="s">
        <v>14</v>
      </c>
      <c r="K88" s="879"/>
      <c r="L88" s="880"/>
      <c r="M88" s="880"/>
      <c r="N88" s="882"/>
    </row>
    <row r="89" spans="1:14" x14ac:dyDescent="0.25">
      <c r="A89" s="879"/>
      <c r="B89" s="879"/>
      <c r="C89" s="879"/>
      <c r="D89" s="603"/>
      <c r="E89" s="884"/>
      <c r="F89" s="591" t="s">
        <v>11</v>
      </c>
      <c r="G89" s="591" t="s">
        <v>12</v>
      </c>
      <c r="H89" s="591" t="s">
        <v>11</v>
      </c>
      <c r="I89" s="591" t="s">
        <v>12</v>
      </c>
      <c r="J89" s="592" t="s">
        <v>11</v>
      </c>
      <c r="K89" s="592" t="s">
        <v>12</v>
      </c>
      <c r="L89" s="880"/>
      <c r="M89" s="880"/>
      <c r="N89" s="882"/>
    </row>
    <row r="90" spans="1:14" x14ac:dyDescent="0.25">
      <c r="A90" s="559"/>
      <c r="B90" s="113" t="s">
        <v>66</v>
      </c>
      <c r="C90" s="113"/>
      <c r="D90" s="113"/>
      <c r="E90" s="425">
        <v>0</v>
      </c>
      <c r="F90" s="11">
        <f>SUMIF('cth sp'!$Q$9:$Q$107,B90,'cth sp'!$R$9:$R$107)</f>
        <v>0</v>
      </c>
      <c r="G90" s="11">
        <f>SUMIF('cth sp'!$Q$9:$Q$107,B90,'cth sp'!$S$9:$S$107)</f>
        <v>0</v>
      </c>
      <c r="H90" s="11">
        <f>SUMIF('cth sp'!$Q$114:$Q$158,B90,'cth sp'!$R$114:$R$158)</f>
        <v>0</v>
      </c>
      <c r="I90" s="11">
        <f>SUMIF('cth sp'!$Q$114:$Q$158,B90,'cth sp'!$S$114:$S$158)</f>
        <v>0</v>
      </c>
      <c r="J90" s="11">
        <f>SUMIF('cth sp'!$Q$159:$Q$389,B90,'cth sp'!$R$159:$R$389)</f>
        <v>0</v>
      </c>
      <c r="K90" s="11">
        <f>SUMIF('cth sp'!$Q$159:$Q$389,B90,'cth sp'!$S$159:$S$389)</f>
        <v>0</v>
      </c>
      <c r="L90" s="11">
        <f>F90+H90+J90</f>
        <v>0</v>
      </c>
      <c r="M90" s="11">
        <f>G90+I90+K90</f>
        <v>0</v>
      </c>
      <c r="N90" s="11">
        <f>L90-M90</f>
        <v>0</v>
      </c>
    </row>
    <row r="91" spans="1:14" s="406" customFormat="1" x14ac:dyDescent="0.25">
      <c r="A91" s="10">
        <v>1</v>
      </c>
      <c r="B91" s="10" t="s">
        <v>297</v>
      </c>
      <c r="C91" s="7" t="s">
        <v>163</v>
      </c>
      <c r="D91" s="8" t="s">
        <v>163</v>
      </c>
      <c r="E91" s="590">
        <v>390000</v>
      </c>
      <c r="F91" s="11">
        <f>SUMIF('cth sp'!$Q$9:$Q$107,B91,'cth sp'!$R$9:$R$107)</f>
        <v>30000</v>
      </c>
      <c r="G91" s="11">
        <f>SUMIF('cth sp'!$Q$9:$Q$107,B91,'cth sp'!$S$9:$S$107)</f>
        <v>0</v>
      </c>
      <c r="H91" s="11">
        <f>SUMIF('cth sp'!$Q$114:$Q$158,B91,'cth sp'!$R$114:$R$158)</f>
        <v>0</v>
      </c>
      <c r="I91" s="11">
        <f>SUMIF('cth sp'!$Q$114:$Q$158,B91,'cth sp'!$S$114:$S$158)</f>
        <v>0</v>
      </c>
      <c r="J91" s="11">
        <f>SUMIF('cth sp'!$Q$159:$Q$389,B91,'cth sp'!$R$159:$R$389)</f>
        <v>0</v>
      </c>
      <c r="K91" s="11">
        <f>SUMIF('cth sp'!$Q$159:$Q$389,B91,'cth sp'!$S$159:$S$389)</f>
        <v>0</v>
      </c>
      <c r="L91" s="11">
        <f t="shared" ref="L91:L168" si="10">F91+H91+J91</f>
        <v>30000</v>
      </c>
      <c r="M91" s="11">
        <f t="shared" ref="M91:M168" si="11">G91+I91+K91</f>
        <v>0</v>
      </c>
      <c r="N91" s="11">
        <f>L91+E91-M91</f>
        <v>420000</v>
      </c>
    </row>
    <row r="92" spans="1:14" s="406" customFormat="1" x14ac:dyDescent="0.25">
      <c r="A92" s="10">
        <v>2</v>
      </c>
      <c r="B92" s="10" t="s">
        <v>298</v>
      </c>
      <c r="C92" s="7" t="s">
        <v>164</v>
      </c>
      <c r="D92" s="8" t="s">
        <v>164</v>
      </c>
      <c r="E92" s="590">
        <v>330000</v>
      </c>
      <c r="F92" s="11">
        <f>SUMIF('cth sp'!$Q$9:$Q$107,B92,'cth sp'!$R$9:$R$107)</f>
        <v>0</v>
      </c>
      <c r="G92" s="11">
        <f>SUMIF('cth sp'!$Q$9:$Q$107,B92,'cth sp'!$S$9:$S$107)</f>
        <v>0</v>
      </c>
      <c r="H92" s="11">
        <f>SUMIF('cth sp'!$Q$114:$Q$158,B92,'cth sp'!$R$114:$R$158)</f>
        <v>0</v>
      </c>
      <c r="I92" s="11">
        <f>SUMIF('cth sp'!$Q$114:$Q$158,B92,'cth sp'!$S$114:$S$158)</f>
        <v>0</v>
      </c>
      <c r="J92" s="11">
        <f>SUMIF('cth sp'!$Q$159:$Q$389,B92,'cth sp'!$R$159:$R$389)</f>
        <v>0</v>
      </c>
      <c r="K92" s="11">
        <f>SUMIF('cth sp'!$Q$159:$Q$389,B92,'cth sp'!$S$159:$S$389)</f>
        <v>0</v>
      </c>
      <c r="L92" s="11">
        <f t="shared" si="10"/>
        <v>0</v>
      </c>
      <c r="M92" s="11">
        <f t="shared" si="11"/>
        <v>0</v>
      </c>
      <c r="N92" s="11">
        <f t="shared" ref="N92:N155" si="12">L92+E92-M92</f>
        <v>330000</v>
      </c>
    </row>
    <row r="93" spans="1:14" s="406" customFormat="1" x14ac:dyDescent="0.25">
      <c r="A93" s="10">
        <v>3</v>
      </c>
      <c r="B93" s="12" t="s">
        <v>299</v>
      </c>
      <c r="C93" s="7" t="s">
        <v>165</v>
      </c>
      <c r="D93" s="8" t="s">
        <v>165</v>
      </c>
      <c r="E93" s="590">
        <v>0</v>
      </c>
      <c r="F93" s="11">
        <f>SUMIF('cth sp'!$Q$9:$Q$107,B93,'cth sp'!$R$9:$R$107)</f>
        <v>0</v>
      </c>
      <c r="G93" s="11">
        <f>SUMIF('cth sp'!$Q$9:$Q$107,B93,'cth sp'!$S$9:$S$107)</f>
        <v>0</v>
      </c>
      <c r="H93" s="11">
        <f>SUMIF('cth sp'!$Q$114:$Q$158,B93,'cth sp'!$R$114:$R$158)</f>
        <v>0</v>
      </c>
      <c r="I93" s="11"/>
      <c r="J93" s="11">
        <f>SUMIF('cth sp'!$Q$159:$Q$389,B93,'cth sp'!$R$159:$R$389)</f>
        <v>0</v>
      </c>
      <c r="K93" s="11">
        <f>SUMIF('cth sp'!$Q$159:$Q$389,B93,'cth sp'!$S$159:$S$389)</f>
        <v>0</v>
      </c>
      <c r="L93" s="11">
        <f t="shared" si="10"/>
        <v>0</v>
      </c>
      <c r="M93" s="11">
        <f t="shared" si="11"/>
        <v>0</v>
      </c>
      <c r="N93" s="599">
        <f t="shared" si="12"/>
        <v>0</v>
      </c>
    </row>
    <row r="94" spans="1:14" s="406" customFormat="1" x14ac:dyDescent="0.25">
      <c r="A94" s="10">
        <v>4</v>
      </c>
      <c r="B94" s="10" t="s">
        <v>300</v>
      </c>
      <c r="C94" s="7" t="s">
        <v>166</v>
      </c>
      <c r="D94" s="8" t="s">
        <v>166</v>
      </c>
      <c r="E94" s="590">
        <v>240000</v>
      </c>
      <c r="F94" s="11">
        <f>SUMIF('cth sp'!$Q$9:$Q$107,B94,'cth sp'!$R$9:$R$107)</f>
        <v>0</v>
      </c>
      <c r="G94" s="11">
        <f>SUMIF('cth sp'!$Q$9:$Q$107,B94,'cth sp'!$S$9:$S$107)</f>
        <v>0</v>
      </c>
      <c r="H94" s="11">
        <f>SUMIF('cth sp'!$Q$114:$Q$158,B94,'cth sp'!$R$114:$R$158)</f>
        <v>0</v>
      </c>
      <c r="I94" s="11">
        <f>SUMIF('cth sp'!$Q$114:$Q$158,B94,'cth sp'!$S$114:$S$158)</f>
        <v>0</v>
      </c>
      <c r="J94" s="11">
        <f>SUMIF('cth sp'!$Q$159:$Q$389,B94,'cth sp'!$R$159:$R$389)</f>
        <v>0</v>
      </c>
      <c r="K94" s="11">
        <f>SUMIF('cth sp'!$Q$159:$Q$389,B94,'cth sp'!$S$159:$S$389)</f>
        <v>0</v>
      </c>
      <c r="L94" s="11">
        <f t="shared" si="10"/>
        <v>0</v>
      </c>
      <c r="M94" s="11">
        <f t="shared" si="11"/>
        <v>0</v>
      </c>
      <c r="N94" s="11">
        <f t="shared" si="12"/>
        <v>240000</v>
      </c>
    </row>
    <row r="95" spans="1:14" s="406" customFormat="1" x14ac:dyDescent="0.25">
      <c r="A95" s="10">
        <v>5</v>
      </c>
      <c r="B95" s="10" t="s">
        <v>301</v>
      </c>
      <c r="C95" s="7" t="s">
        <v>167</v>
      </c>
      <c r="D95" s="8" t="s">
        <v>167</v>
      </c>
      <c r="E95" s="590">
        <v>300000</v>
      </c>
      <c r="F95" s="11">
        <f>SUMIF('cth sp'!$Q$9:$Q$107,B95,'cth sp'!$R$9:$R$107)</f>
        <v>0</v>
      </c>
      <c r="G95" s="11">
        <f>SUMIF('cth sp'!$Q$9:$Q$107,B95,'cth sp'!$S$9:$S$107)</f>
        <v>0</v>
      </c>
      <c r="H95" s="11">
        <f>SUMIF('cth sp'!$Q$114:$Q$158,B95,'cth sp'!$R$114:$R$158)</f>
        <v>0</v>
      </c>
      <c r="I95" s="11">
        <f>SUMIF('cth sp'!$Q$114:$Q$158,B95,'cth sp'!$S$114:$S$158)</f>
        <v>0</v>
      </c>
      <c r="J95" s="11">
        <f>SUMIF('cth sp'!$Q$159:$Q$389,B95,'cth sp'!$R$159:$R$389)</f>
        <v>0</v>
      </c>
      <c r="K95" s="11">
        <f>SUMIF('cth sp'!$Q$159:$Q$389,B95,'cth sp'!$S$159:$S$389)</f>
        <v>0</v>
      </c>
      <c r="L95" s="11">
        <f t="shared" si="10"/>
        <v>0</v>
      </c>
      <c r="M95" s="11">
        <f t="shared" si="11"/>
        <v>0</v>
      </c>
      <c r="N95" s="11">
        <f>L95+E95-M95</f>
        <v>300000</v>
      </c>
    </row>
    <row r="96" spans="1:14" s="406" customFormat="1" x14ac:dyDescent="0.25">
      <c r="A96" s="10">
        <v>6</v>
      </c>
      <c r="B96" s="10" t="s">
        <v>302</v>
      </c>
      <c r="C96" s="7" t="s">
        <v>168</v>
      </c>
      <c r="D96" s="8" t="s">
        <v>168</v>
      </c>
      <c r="E96" s="590">
        <v>360000</v>
      </c>
      <c r="F96" s="11">
        <f>SUMIF('cth sp'!$Q$9:$Q$107,B96,'cth sp'!$R$9:$R$107)</f>
        <v>30000</v>
      </c>
      <c r="G96" s="11">
        <f>SUMIF('cth sp'!$Q$9:$Q$107,B96,'cth sp'!$S$9:$S$107)</f>
        <v>0</v>
      </c>
      <c r="H96" s="11">
        <f>SUMIF('cth sp'!$Q$114:$Q$158,B96,'cth sp'!$R$114:$R$158)</f>
        <v>0</v>
      </c>
      <c r="I96" s="11">
        <f>SUMIF('cth sp'!$Q$114:$Q$158,B96,'cth sp'!$S$114:$S$158)</f>
        <v>0</v>
      </c>
      <c r="J96" s="11">
        <f>SUMIF('cth sp'!$Q$159:$Q$389,B96,'cth sp'!$R$159:$R$389)</f>
        <v>0</v>
      </c>
      <c r="K96" s="11">
        <f>SUMIF('cth sp'!$Q$159:$Q$389,B96,'cth sp'!$S$159:$S$389)</f>
        <v>0</v>
      </c>
      <c r="L96" s="11">
        <f t="shared" si="10"/>
        <v>30000</v>
      </c>
      <c r="M96" s="11">
        <f t="shared" si="11"/>
        <v>0</v>
      </c>
      <c r="N96" s="11">
        <f t="shared" si="12"/>
        <v>390000</v>
      </c>
    </row>
    <row r="97" spans="1:14" s="406" customFormat="1" x14ac:dyDescent="0.25">
      <c r="A97" s="10">
        <v>7</v>
      </c>
      <c r="B97" s="10" t="s">
        <v>303</v>
      </c>
      <c r="C97" s="7" t="s">
        <v>169</v>
      </c>
      <c r="D97" s="8" t="s">
        <v>169</v>
      </c>
      <c r="E97" s="590">
        <v>300000</v>
      </c>
      <c r="F97" s="11">
        <f>SUMIF('cth sp'!$Q$9:$Q$107,B97,'cth sp'!$R$9:$R$107)</f>
        <v>0</v>
      </c>
      <c r="G97" s="11">
        <f>SUMIF('cth sp'!$Q$9:$Q$107,B97,'cth sp'!$S$9:$S$107)</f>
        <v>0</v>
      </c>
      <c r="H97" s="11">
        <f>SUMIF('cth sp'!$Q$114:$Q$158,B97,'cth sp'!$R$114:$R$158)</f>
        <v>0</v>
      </c>
      <c r="I97" s="11">
        <f>SUMIF('cth sp'!$Q$114:$Q$158,B97,'cth sp'!$S$114:$S$158)</f>
        <v>0</v>
      </c>
      <c r="J97" s="11">
        <f>SUMIF('cth sp'!$Q$159:$Q$389,B97,'cth sp'!$R$159:$R$389)</f>
        <v>0</v>
      </c>
      <c r="K97" s="11">
        <f>SUMIF('cth sp'!$Q$159:$Q$389,B97,'cth sp'!$S$159:$S$389)</f>
        <v>0</v>
      </c>
      <c r="L97" s="11">
        <f t="shared" si="10"/>
        <v>0</v>
      </c>
      <c r="M97" s="11">
        <f t="shared" si="11"/>
        <v>0</v>
      </c>
      <c r="N97" s="11">
        <f t="shared" si="12"/>
        <v>300000</v>
      </c>
    </row>
    <row r="98" spans="1:14" s="406" customFormat="1" x14ac:dyDescent="0.25">
      <c r="A98" s="10">
        <v>8</v>
      </c>
      <c r="B98" s="10" t="s">
        <v>304</v>
      </c>
      <c r="C98" s="7" t="s">
        <v>170</v>
      </c>
      <c r="D98" s="8" t="s">
        <v>170</v>
      </c>
      <c r="E98" s="590">
        <v>390000</v>
      </c>
      <c r="F98" s="11">
        <f>SUMIF('cth sp'!$Q$9:$Q$107,B98,'cth sp'!$R$9:$R$107)</f>
        <v>0</v>
      </c>
      <c r="G98" s="11">
        <f>SUMIF('cth sp'!$Q$9:$Q$107,B98,'cth sp'!$S$9:$S$107)</f>
        <v>0</v>
      </c>
      <c r="H98" s="11">
        <f>SUMIF('cth sp'!$Q$114:$Q$158,B98,'cth sp'!$R$114:$R$158)</f>
        <v>0</v>
      </c>
      <c r="I98" s="11">
        <f>SUMIF('cth sp'!$Q$114:$Q$158,B98,'cth sp'!$S$114:$S$158)</f>
        <v>330000</v>
      </c>
      <c r="J98" s="11">
        <f>SUMIF('cth sp'!$Q$159:$Q$389,B98,'cth sp'!$R$159:$R$389)</f>
        <v>0</v>
      </c>
      <c r="K98" s="11">
        <f>SUMIF('cth sp'!$Q$159:$Q$389,B98,'cth sp'!$S$159:$S$389)</f>
        <v>0</v>
      </c>
      <c r="L98" s="11">
        <f t="shared" si="10"/>
        <v>0</v>
      </c>
      <c r="M98" s="11">
        <f t="shared" si="11"/>
        <v>330000</v>
      </c>
      <c r="N98" s="11">
        <f t="shared" si="12"/>
        <v>60000</v>
      </c>
    </row>
    <row r="99" spans="1:14" s="406" customFormat="1" x14ac:dyDescent="0.25">
      <c r="A99" s="10">
        <v>9</v>
      </c>
      <c r="B99" s="10" t="s">
        <v>305</v>
      </c>
      <c r="C99" s="7" t="s">
        <v>171</v>
      </c>
      <c r="D99" s="8" t="s">
        <v>171</v>
      </c>
      <c r="E99" s="590">
        <v>30000</v>
      </c>
      <c r="F99" s="11">
        <f>SUMIF('cth sp'!$Q$9:$Q$107,B99,'cth sp'!$R$9:$R$107)</f>
        <v>0</v>
      </c>
      <c r="G99" s="11">
        <f>SUMIF('cth sp'!$Q$9:$Q$107,B99,'cth sp'!$S$9:$S$107)</f>
        <v>0</v>
      </c>
      <c r="H99" s="11">
        <f>SUMIF('cth sp'!$Q$114:$Q$158,B99,'cth sp'!$R$114:$R$158)</f>
        <v>0</v>
      </c>
      <c r="I99" s="11">
        <f>SUMIF('cth sp'!$Q$114:$Q$158,B99,'cth sp'!$S$114:$S$158)</f>
        <v>0</v>
      </c>
      <c r="J99" s="11">
        <f>SUMIF('cth sp'!$Q$159:$Q$389,B99,'cth sp'!$R$159:$R$389)</f>
        <v>0</v>
      </c>
      <c r="K99" s="11">
        <f>SUMIF('cth sp'!$Q$159:$Q$389,B99,'cth sp'!$S$159:$S$389)</f>
        <v>0</v>
      </c>
      <c r="L99" s="11">
        <f t="shared" si="10"/>
        <v>0</v>
      </c>
      <c r="M99" s="11">
        <f t="shared" si="11"/>
        <v>0</v>
      </c>
      <c r="N99" s="11">
        <f t="shared" si="12"/>
        <v>30000</v>
      </c>
    </row>
    <row r="100" spans="1:14" s="406" customFormat="1" x14ac:dyDescent="0.25">
      <c r="A100" s="10">
        <v>10</v>
      </c>
      <c r="B100" s="10" t="s">
        <v>306</v>
      </c>
      <c r="C100" s="7" t="s">
        <v>172</v>
      </c>
      <c r="D100" s="8" t="s">
        <v>172</v>
      </c>
      <c r="E100" s="590">
        <v>0</v>
      </c>
      <c r="F100" s="11">
        <f>SUMIF('cth sp'!$Q$9:$Q$107,B100,'cth sp'!$R$9:$R$107)</f>
        <v>0</v>
      </c>
      <c r="G100" s="11">
        <f>SUMIF('cth sp'!$Q$9:$Q$107,B100,'cth sp'!$S$9:$S$107)</f>
        <v>0</v>
      </c>
      <c r="H100" s="11">
        <f>SUMIF('cth sp'!$Q$114:$Q$158,B100,'cth sp'!$R$114:$R$158)</f>
        <v>0</v>
      </c>
      <c r="I100" s="11">
        <f>SUMIF('cth sp'!$Q$114:$Q$158,B100,'cth sp'!$S$114:$S$158)</f>
        <v>0</v>
      </c>
      <c r="J100" s="11">
        <f>SUMIF('cth sp'!$Q$159:$Q$389,B100,'cth sp'!$R$159:$R$389)</f>
        <v>0</v>
      </c>
      <c r="K100" s="11">
        <f>SUMIF('cth sp'!$Q$159:$Q$389,B100,'cth sp'!$S$159:$S$389)</f>
        <v>0</v>
      </c>
      <c r="L100" s="11">
        <f t="shared" si="10"/>
        <v>0</v>
      </c>
      <c r="M100" s="11">
        <f t="shared" si="11"/>
        <v>0</v>
      </c>
      <c r="N100" s="599">
        <f t="shared" si="12"/>
        <v>0</v>
      </c>
    </row>
    <row r="101" spans="1:14" s="406" customFormat="1" x14ac:dyDescent="0.25">
      <c r="A101" s="10">
        <v>11</v>
      </c>
      <c r="B101" s="10" t="s">
        <v>307</v>
      </c>
      <c r="C101" s="7" t="s">
        <v>173</v>
      </c>
      <c r="D101" s="8" t="s">
        <v>666</v>
      </c>
      <c r="E101" s="590">
        <v>300000</v>
      </c>
      <c r="F101" s="11">
        <f>SUMIF('cth sp'!$Q$9:$Q$107,B101,'cth sp'!$R$9:$R$107)</f>
        <v>0</v>
      </c>
      <c r="G101" s="11">
        <f>SUMIF('cth sp'!$Q$9:$Q$107,B101,'cth sp'!$S$9:$S$107)</f>
        <v>0</v>
      </c>
      <c r="H101" s="11">
        <f>SUMIF('cth sp'!$Q$114:$Q$158,B101,'cth sp'!$R$114:$R$158)</f>
        <v>0</v>
      </c>
      <c r="I101" s="11">
        <f>SUMIF('cth sp'!$Q$114:$Q$158,B101,'cth sp'!$S$114:$S$158)</f>
        <v>0</v>
      </c>
      <c r="J101" s="11">
        <f>SUMIF('cth sp'!$Q$159:$Q$389,B101,'cth sp'!$R$159:$R$389)</f>
        <v>0</v>
      </c>
      <c r="K101" s="11">
        <f>SUMIF('cth sp'!$Q$159:$Q$389,B101,'cth sp'!$S$159:$S$389)</f>
        <v>0</v>
      </c>
      <c r="L101" s="11">
        <f t="shared" si="10"/>
        <v>0</v>
      </c>
      <c r="M101" s="11">
        <f t="shared" si="11"/>
        <v>0</v>
      </c>
      <c r="N101" s="11">
        <f t="shared" si="12"/>
        <v>300000</v>
      </c>
    </row>
    <row r="102" spans="1:14" s="406" customFormat="1" x14ac:dyDescent="0.25">
      <c r="A102" s="10">
        <v>12</v>
      </c>
      <c r="B102" s="10" t="s">
        <v>308</v>
      </c>
      <c r="C102" s="7" t="s">
        <v>174</v>
      </c>
      <c r="D102" s="8" t="s">
        <v>174</v>
      </c>
      <c r="E102" s="590">
        <v>360000</v>
      </c>
      <c r="F102" s="11">
        <f>SUMIF('cth sp'!$Q$9:$Q$107,B102,'cth sp'!$R$9:$R$107)</f>
        <v>0</v>
      </c>
      <c r="G102" s="11">
        <f>SUMIF('cth sp'!$Q$9:$Q$107,B102,'cth sp'!$S$9:$S$107)</f>
        <v>0</v>
      </c>
      <c r="H102" s="11">
        <f>SUMIF('cth sp'!$Q$114:$Q$158,B102,'cth sp'!$R$114:$R$158)</f>
        <v>30000</v>
      </c>
      <c r="I102" s="11">
        <f>SUMIF('cth sp'!$Q$114:$Q$158,B102,'cth sp'!$S$114:$S$158)</f>
        <v>0</v>
      </c>
      <c r="J102" s="11">
        <f>SUMIF('cth sp'!$Q$159:$Q$389,B102,'cth sp'!$R$159:$R$389)</f>
        <v>0</v>
      </c>
      <c r="K102" s="11">
        <f>SUMIF('cth sp'!$Q$159:$Q$389,B102,'cth sp'!$S$159:$S$389)</f>
        <v>0</v>
      </c>
      <c r="L102" s="11">
        <f t="shared" si="10"/>
        <v>30000</v>
      </c>
      <c r="M102" s="11">
        <f t="shared" si="11"/>
        <v>0</v>
      </c>
      <c r="N102" s="11">
        <f t="shared" si="12"/>
        <v>390000</v>
      </c>
    </row>
    <row r="103" spans="1:14" s="406" customFormat="1" x14ac:dyDescent="0.25">
      <c r="A103" s="10">
        <v>13</v>
      </c>
      <c r="B103" s="10" t="s">
        <v>309</v>
      </c>
      <c r="C103" s="7" t="s">
        <v>175</v>
      </c>
      <c r="D103" s="8" t="s">
        <v>175</v>
      </c>
      <c r="E103" s="590">
        <v>0</v>
      </c>
      <c r="F103" s="11">
        <f>SUMIF('cth sp'!$Q$9:$Q$107,B103,'cth sp'!$R$9:$R$107)</f>
        <v>0</v>
      </c>
      <c r="G103" s="11">
        <f>SUMIF('cth sp'!$Q$9:$Q$107,B103,'cth sp'!$S$9:$S$107)</f>
        <v>0</v>
      </c>
      <c r="H103" s="11">
        <f>SUMIF('cth sp'!$Q$114:$Q$158,B103,'cth sp'!$R$114:$R$158)</f>
        <v>0</v>
      </c>
      <c r="I103" s="11">
        <f>SUMIF('cth sp'!$Q$114:$Q$158,B103,'cth sp'!$S$114:$S$158)</f>
        <v>0</v>
      </c>
      <c r="J103" s="11">
        <f>SUMIF('cth sp'!$Q$159:$Q$389,B103,'cth sp'!$R$159:$R$389)</f>
        <v>0</v>
      </c>
      <c r="K103" s="11">
        <f>SUMIF('cth sp'!$Q$159:$Q$389,B103,'cth sp'!$S$159:$S$389)</f>
        <v>0</v>
      </c>
      <c r="L103" s="11">
        <f t="shared" si="10"/>
        <v>0</v>
      </c>
      <c r="M103" s="11">
        <f t="shared" si="11"/>
        <v>0</v>
      </c>
      <c r="N103" s="599">
        <f t="shared" si="12"/>
        <v>0</v>
      </c>
    </row>
    <row r="104" spans="1:14" s="406" customFormat="1" x14ac:dyDescent="0.25">
      <c r="A104" s="10">
        <v>14</v>
      </c>
      <c r="B104" s="10" t="s">
        <v>310</v>
      </c>
      <c r="C104" s="7" t="s">
        <v>176</v>
      </c>
      <c r="D104" s="8" t="s">
        <v>176</v>
      </c>
      <c r="E104" s="590">
        <v>240000</v>
      </c>
      <c r="F104" s="11">
        <f>SUMIF('cth sp'!$Q$9:$Q$107,B104,'cth sp'!$R$9:$R$107)</f>
        <v>0</v>
      </c>
      <c r="G104" s="11">
        <f>SUMIF('cth sp'!$Q$9:$Q$107,B104,'cth sp'!$S$9:$S$107)</f>
        <v>0</v>
      </c>
      <c r="H104" s="11">
        <f>SUMIF('cth sp'!$Q$114:$Q$158,B104,'cth sp'!$R$114:$R$158)</f>
        <v>0</v>
      </c>
      <c r="I104" s="11">
        <f>SUMIF('cth sp'!$Q$114:$Q$158,B104,'cth sp'!$S$114:$S$158)</f>
        <v>0</v>
      </c>
      <c r="J104" s="11">
        <f>SUMIF('cth sp'!$Q$159:$Q$389,B104,'cth sp'!$R$159:$R$389)</f>
        <v>0</v>
      </c>
      <c r="K104" s="11">
        <f>SUMIF('cth sp'!$Q$159:$Q$389,B104,'cth sp'!$S$159:$S$389)</f>
        <v>0</v>
      </c>
      <c r="L104" s="11">
        <f t="shared" si="10"/>
        <v>0</v>
      </c>
      <c r="M104" s="11">
        <f t="shared" si="11"/>
        <v>0</v>
      </c>
      <c r="N104" s="11">
        <f t="shared" si="12"/>
        <v>240000</v>
      </c>
    </row>
    <row r="105" spans="1:14" s="406" customFormat="1" x14ac:dyDescent="0.25">
      <c r="A105" s="10">
        <v>15</v>
      </c>
      <c r="B105" s="10" t="s">
        <v>311</v>
      </c>
      <c r="C105" s="7" t="s">
        <v>177</v>
      </c>
      <c r="D105" s="8" t="s">
        <v>177</v>
      </c>
      <c r="E105" s="590">
        <v>240000</v>
      </c>
      <c r="F105" s="11">
        <f>SUMIF('cth sp'!$Q$9:$Q$107,B105,'cth sp'!$R$9:$R$107)</f>
        <v>30000</v>
      </c>
      <c r="G105" s="11">
        <f>SUMIF('cth sp'!$Q$9:$Q$107,B105,'cth sp'!$S$9:$S$107)</f>
        <v>0</v>
      </c>
      <c r="H105" s="11">
        <f>SUMIF('cth sp'!$Q$114:$Q$158,B105,'cth sp'!$R$114:$R$158)</f>
        <v>0</v>
      </c>
      <c r="I105" s="11">
        <f>SUMIF('cth sp'!$Q$114:$Q$158,B105,'cth sp'!$S$114:$S$158)</f>
        <v>0</v>
      </c>
      <c r="J105" s="11">
        <f>SUMIF('cth sp'!$Q$159:$Q$389,B105,'cth sp'!$R$159:$R$389)</f>
        <v>0</v>
      </c>
      <c r="K105" s="11">
        <f>SUMIF('cth sp'!$Q$159:$Q$389,B105,'cth sp'!$S$159:$S$389)</f>
        <v>0</v>
      </c>
      <c r="L105" s="11">
        <f t="shared" si="10"/>
        <v>30000</v>
      </c>
      <c r="M105" s="11">
        <f t="shared" si="11"/>
        <v>0</v>
      </c>
      <c r="N105" s="11">
        <f t="shared" si="12"/>
        <v>270000</v>
      </c>
    </row>
    <row r="106" spans="1:14" s="406" customFormat="1" x14ac:dyDescent="0.25">
      <c r="A106" s="10">
        <v>16</v>
      </c>
      <c r="B106" s="10" t="s">
        <v>312</v>
      </c>
      <c r="C106" s="7" t="s">
        <v>178</v>
      </c>
      <c r="D106" s="8" t="s">
        <v>178</v>
      </c>
      <c r="E106" s="590">
        <v>300000</v>
      </c>
      <c r="F106" s="11">
        <f>SUMIF('cth sp'!$Q$9:$Q$107,B106,'cth sp'!$R$9:$R$107)</f>
        <v>0</v>
      </c>
      <c r="G106" s="11">
        <f>SUMIF('cth sp'!$Q$9:$Q$107,B106,'cth sp'!$S$9:$S$107)</f>
        <v>0</v>
      </c>
      <c r="H106" s="11">
        <f>SUMIF('cth sp'!$Q$114:$Q$158,B106,'cth sp'!$R$114:$R$158)</f>
        <v>0</v>
      </c>
      <c r="I106" s="11">
        <f>SUMIF('cth sp'!$Q$114:$Q$158,B106,'cth sp'!$S$114:$S$158)</f>
        <v>0</v>
      </c>
      <c r="J106" s="11">
        <f>SUMIF('cth sp'!$Q$159:$Q$389,B106,'cth sp'!$R$159:$R$389)</f>
        <v>0</v>
      </c>
      <c r="K106" s="11">
        <f>SUMIF('cth sp'!$Q$159:$Q$389,B106,'cth sp'!$S$159:$S$389)</f>
        <v>0</v>
      </c>
      <c r="L106" s="11">
        <f t="shared" si="10"/>
        <v>0</v>
      </c>
      <c r="M106" s="11">
        <f t="shared" si="11"/>
        <v>0</v>
      </c>
      <c r="N106" s="11">
        <f t="shared" si="12"/>
        <v>300000</v>
      </c>
    </row>
    <row r="107" spans="1:14" s="406" customFormat="1" x14ac:dyDescent="0.25">
      <c r="A107" s="10">
        <v>17</v>
      </c>
      <c r="B107" s="10" t="s">
        <v>313</v>
      </c>
      <c r="C107" s="7" t="s">
        <v>179</v>
      </c>
      <c r="D107" s="8" t="s">
        <v>179</v>
      </c>
      <c r="E107" s="590">
        <v>240000</v>
      </c>
      <c r="F107" s="11">
        <f>SUMIF('cth sp'!$Q$9:$Q$107,B107,'cth sp'!$R$9:$R$107)</f>
        <v>0</v>
      </c>
      <c r="G107" s="11">
        <f>SUMIF('cth sp'!$Q$9:$Q$107,B107,'cth sp'!$S$9:$S$107)</f>
        <v>0</v>
      </c>
      <c r="H107" s="11">
        <f>SUMIF('cth sp'!$Q$114:$Q$158,B107,'cth sp'!$R$114:$R$158)</f>
        <v>0</v>
      </c>
      <c r="I107" s="11">
        <f>SUMIF('cth sp'!$Q$114:$Q$158,B107,'cth sp'!$S$114:$S$158)</f>
        <v>0</v>
      </c>
      <c r="J107" s="11">
        <f>SUMIF('cth sp'!$Q$159:$Q$389,B107,'cth sp'!$R$159:$R$389)</f>
        <v>0</v>
      </c>
      <c r="K107" s="11">
        <f>SUMIF('cth sp'!$Q$159:$Q$389,B107,'cth sp'!$S$159:$S$389)</f>
        <v>0</v>
      </c>
      <c r="L107" s="11">
        <f t="shared" si="10"/>
        <v>0</v>
      </c>
      <c r="M107" s="11">
        <f t="shared" si="11"/>
        <v>0</v>
      </c>
      <c r="N107" s="11">
        <f t="shared" si="12"/>
        <v>240000</v>
      </c>
    </row>
    <row r="108" spans="1:14" s="406" customFormat="1" x14ac:dyDescent="0.25">
      <c r="A108" s="10">
        <v>18</v>
      </c>
      <c r="B108" s="10" t="s">
        <v>314</v>
      </c>
      <c r="C108" s="7" t="s">
        <v>180</v>
      </c>
      <c r="D108" s="8" t="s">
        <v>180</v>
      </c>
      <c r="E108" s="590">
        <v>330000</v>
      </c>
      <c r="F108" s="11">
        <f>SUMIF('cth sp'!$Q$9:$Q$107,B108,'cth sp'!$R$9:$R$107)</f>
        <v>0</v>
      </c>
      <c r="G108" s="11">
        <f>SUMIF('cth sp'!$Q$9:$Q$107,B108,'cth sp'!$S$9:$S$107)</f>
        <v>0</v>
      </c>
      <c r="H108" s="11">
        <f>SUMIF('cth sp'!$Q$114:$Q$158,B108,'cth sp'!$R$114:$R$158)</f>
        <v>0</v>
      </c>
      <c r="I108" s="11">
        <f>SUMIF('cth sp'!$Q$114:$Q$158,B108,'cth sp'!$S$114:$S$158)</f>
        <v>0</v>
      </c>
      <c r="J108" s="11">
        <f>SUMIF('cth sp'!$Q$159:$Q$389,B108,'cth sp'!$R$159:$R$389)</f>
        <v>0</v>
      </c>
      <c r="K108" s="11">
        <f>SUMIF('cth sp'!$Q$159:$Q$389,B108,'cth sp'!$S$159:$S$389)</f>
        <v>0</v>
      </c>
      <c r="L108" s="11">
        <f t="shared" si="10"/>
        <v>0</v>
      </c>
      <c r="M108" s="11">
        <f t="shared" si="11"/>
        <v>0</v>
      </c>
      <c r="N108" s="11">
        <f t="shared" si="12"/>
        <v>330000</v>
      </c>
    </row>
    <row r="109" spans="1:14" s="406" customFormat="1" x14ac:dyDescent="0.25">
      <c r="A109" s="10">
        <v>19</v>
      </c>
      <c r="B109" s="10" t="s">
        <v>315</v>
      </c>
      <c r="C109" s="7" t="s">
        <v>181</v>
      </c>
      <c r="D109" s="8" t="s">
        <v>181</v>
      </c>
      <c r="E109" s="590">
        <v>30000</v>
      </c>
      <c r="F109" s="11">
        <f>SUMIF('cth sp'!$Q$9:$Q$107,B109,'cth sp'!$R$9:$R$107)</f>
        <v>0</v>
      </c>
      <c r="G109" s="11">
        <f>SUMIF('cth sp'!$Q$9:$Q$107,B109,'cth sp'!$S$9:$S$107)</f>
        <v>0</v>
      </c>
      <c r="H109" s="11">
        <f>SUMIF('cth sp'!$Q$114:$Q$158,B109,'cth sp'!$R$114:$R$158)</f>
        <v>0</v>
      </c>
      <c r="I109" s="11">
        <f>SUMIF('cth sp'!$Q$114:$Q$158,B109,'cth sp'!$S$114:$S$158)</f>
        <v>0</v>
      </c>
      <c r="J109" s="11">
        <f>SUMIF('cth sp'!$Q$159:$Q$389,B109,'cth sp'!$R$159:$R$389)</f>
        <v>0</v>
      </c>
      <c r="K109" s="11">
        <f>SUMIF('cth sp'!$Q$159:$Q$389,B109,'cth sp'!$S$159:$S$389)</f>
        <v>0</v>
      </c>
      <c r="L109" s="11">
        <f t="shared" si="10"/>
        <v>0</v>
      </c>
      <c r="M109" s="11">
        <f t="shared" si="11"/>
        <v>0</v>
      </c>
      <c r="N109" s="11">
        <f t="shared" si="12"/>
        <v>30000</v>
      </c>
    </row>
    <row r="110" spans="1:14" s="406" customFormat="1" x14ac:dyDescent="0.25">
      <c r="A110" s="10">
        <v>20</v>
      </c>
      <c r="B110" s="10" t="s">
        <v>316</v>
      </c>
      <c r="C110" s="7" t="s">
        <v>182</v>
      </c>
      <c r="D110" s="8" t="s">
        <v>182</v>
      </c>
      <c r="E110" s="590">
        <v>330000</v>
      </c>
      <c r="F110" s="11">
        <f>SUMIF('cth sp'!$Q$9:$Q$107,B110,'cth sp'!$R$9:$R$107)</f>
        <v>30000</v>
      </c>
      <c r="G110" s="11">
        <f>SUMIF('cth sp'!$Q$9:$Q$107,B110,'cth sp'!$S$9:$S$107)</f>
        <v>0</v>
      </c>
      <c r="H110" s="11">
        <f>SUMIF('cth sp'!$Q$114:$Q$158,B110,'cth sp'!$R$114:$R$158)</f>
        <v>0</v>
      </c>
      <c r="I110" s="11">
        <f>SUMIF('cth sp'!$Q$114:$Q$158,B110,'cth sp'!$S$114:$S$158)</f>
        <v>0</v>
      </c>
      <c r="J110" s="11">
        <f>SUMIF('cth sp'!$Q$159:$Q$389,B110,'cth sp'!$R$159:$R$389)</f>
        <v>0</v>
      </c>
      <c r="K110" s="11">
        <f>SUMIF('cth sp'!$Q$159:$Q$389,B110,'cth sp'!$S$159:$S$389)</f>
        <v>0</v>
      </c>
      <c r="L110" s="11">
        <f t="shared" si="10"/>
        <v>30000</v>
      </c>
      <c r="M110" s="11">
        <f t="shared" si="11"/>
        <v>0</v>
      </c>
      <c r="N110" s="11">
        <f t="shared" si="12"/>
        <v>360000</v>
      </c>
    </row>
    <row r="111" spans="1:14" s="406" customFormat="1" x14ac:dyDescent="0.25">
      <c r="A111" s="10">
        <v>21</v>
      </c>
      <c r="B111" s="10" t="s">
        <v>317</v>
      </c>
      <c r="C111" s="7" t="s">
        <v>183</v>
      </c>
      <c r="D111" s="8" t="s">
        <v>183</v>
      </c>
      <c r="E111" s="590">
        <v>270000</v>
      </c>
      <c r="F111" s="11">
        <f>SUMIF('cth sp'!$Q$9:$Q$107,B111,'cth sp'!$R$9:$R$107)</f>
        <v>0</v>
      </c>
      <c r="G111" s="11">
        <f>SUMIF('cth sp'!$Q$9:$Q$107,B111,'cth sp'!$S$9:$S$107)</f>
        <v>0</v>
      </c>
      <c r="H111" s="11">
        <f>SUMIF('cth sp'!$Q$114:$Q$158,B111,'cth sp'!$R$114:$R$158)</f>
        <v>0</v>
      </c>
      <c r="I111" s="11">
        <f>SUMIF('cth sp'!$Q$114:$Q$158,B111,'cth sp'!$S$114:$S$158)</f>
        <v>0</v>
      </c>
      <c r="J111" s="11">
        <f>SUMIF('cth sp'!$Q$159:$Q$389,B111,'cth sp'!$R$159:$R$389)</f>
        <v>0</v>
      </c>
      <c r="K111" s="11">
        <f>SUMIF('cth sp'!$Q$159:$Q$389,B111,'cth sp'!$S$159:$S$389)</f>
        <v>0</v>
      </c>
      <c r="L111" s="11">
        <f t="shared" si="10"/>
        <v>0</v>
      </c>
      <c r="M111" s="11">
        <f t="shared" si="11"/>
        <v>0</v>
      </c>
      <c r="N111" s="11">
        <f t="shared" si="12"/>
        <v>270000</v>
      </c>
    </row>
    <row r="112" spans="1:14" s="406" customFormat="1" x14ac:dyDescent="0.25">
      <c r="A112" s="10">
        <v>22</v>
      </c>
      <c r="B112" s="10" t="s">
        <v>318</v>
      </c>
      <c r="C112" s="7" t="s">
        <v>184</v>
      </c>
      <c r="D112" s="8" t="s">
        <v>184</v>
      </c>
      <c r="E112" s="590">
        <v>360000</v>
      </c>
      <c r="F112" s="11">
        <f>SUMIF('cth sp'!$Q$9:$Q$107,B112,'cth sp'!$R$9:$R$107)</f>
        <v>30000</v>
      </c>
      <c r="G112" s="11">
        <f>SUMIF('cth sp'!$Q$9:$Q$107,B112,'cth sp'!$S$9:$S$107)</f>
        <v>0</v>
      </c>
      <c r="H112" s="11">
        <f>SUMIF('cth sp'!$Q$114:$Q$158,B112,'cth sp'!$R$114:$R$158)</f>
        <v>0</v>
      </c>
      <c r="I112" s="11">
        <f>SUMIF('cth sp'!$Q$114:$Q$158,B112,'cth sp'!$S$114:$S$158)</f>
        <v>0</v>
      </c>
      <c r="J112" s="11">
        <f>SUMIF('cth sp'!$Q$159:$Q$389,B112,'cth sp'!$R$159:$R$389)</f>
        <v>0</v>
      </c>
      <c r="K112" s="11">
        <f>SUMIF('cth sp'!$Q$159:$Q$389,B112,'cth sp'!$S$159:$S$389)</f>
        <v>0</v>
      </c>
      <c r="L112" s="11">
        <f t="shared" si="10"/>
        <v>30000</v>
      </c>
      <c r="M112" s="11">
        <f t="shared" si="11"/>
        <v>0</v>
      </c>
      <c r="N112" s="11">
        <f t="shared" si="12"/>
        <v>390000</v>
      </c>
    </row>
    <row r="113" spans="1:14" s="406" customFormat="1" x14ac:dyDescent="0.25">
      <c r="A113" s="10">
        <v>23</v>
      </c>
      <c r="B113" s="10" t="s">
        <v>319</v>
      </c>
      <c r="C113" s="7" t="s">
        <v>185</v>
      </c>
      <c r="D113" s="8" t="s">
        <v>185</v>
      </c>
      <c r="E113" s="590">
        <v>360000</v>
      </c>
      <c r="F113" s="11">
        <f>SUMIF('cth sp'!$Q$9:$Q$107,B113,'cth sp'!$R$9:$R$107)</f>
        <v>0</v>
      </c>
      <c r="G113" s="11">
        <f>SUMIF('cth sp'!$Q$9:$Q$107,B113,'cth sp'!$S$9:$S$107)</f>
        <v>0</v>
      </c>
      <c r="H113" s="11">
        <f>SUMIF('cth sp'!$Q$114:$Q$158,B113,'cth sp'!$R$114:$R$158)</f>
        <v>0</v>
      </c>
      <c r="I113" s="11">
        <f>SUMIF('cth sp'!$Q$114:$Q$158,B113,'cth sp'!$S$114:$S$158)</f>
        <v>0</v>
      </c>
      <c r="J113" s="11">
        <f>SUMIF('cth sp'!$Q$159:$Q$389,B113,'cth sp'!$R$159:$R$389)</f>
        <v>0</v>
      </c>
      <c r="K113" s="11">
        <f>SUMIF('cth sp'!$Q$159:$Q$389,B113,'cth sp'!$S$159:$S$389)</f>
        <v>0</v>
      </c>
      <c r="L113" s="11">
        <f t="shared" si="10"/>
        <v>0</v>
      </c>
      <c r="M113" s="11">
        <f t="shared" si="11"/>
        <v>0</v>
      </c>
      <c r="N113" s="11">
        <f t="shared" si="12"/>
        <v>360000</v>
      </c>
    </row>
    <row r="114" spans="1:14" s="406" customFormat="1" x14ac:dyDescent="0.25">
      <c r="A114" s="10">
        <v>24</v>
      </c>
      <c r="B114" s="10" t="s">
        <v>320</v>
      </c>
      <c r="C114" s="8" t="s">
        <v>186</v>
      </c>
      <c r="D114" s="8" t="s">
        <v>186</v>
      </c>
      <c r="E114" s="590">
        <v>300000</v>
      </c>
      <c r="F114" s="11">
        <f>SUMIF('cth sp'!$Q$9:$Q$107,B114,'cth sp'!$R$9:$R$107)</f>
        <v>30000</v>
      </c>
      <c r="G114" s="11">
        <f>SUMIF('cth sp'!$Q$9:$Q$107,B114,'cth sp'!$S$9:$S$107)</f>
        <v>0</v>
      </c>
      <c r="H114" s="11">
        <f>SUMIF('cth sp'!$Q$114:$Q$158,B114,'cth sp'!$R$114:$R$158)</f>
        <v>60000</v>
      </c>
      <c r="I114" s="11">
        <f>SUMIF('cth sp'!$Q$114:$Q$158,B114,'cth sp'!$S$114:$S$158)</f>
        <v>0</v>
      </c>
      <c r="J114" s="11">
        <f>SUMIF('cth sp'!$Q$159:$Q$389,B114,'cth sp'!$R$159:$R$389)</f>
        <v>0</v>
      </c>
      <c r="K114" s="11">
        <f>SUMIF('cth sp'!$Q$159:$Q$389,B114,'cth sp'!$S$159:$S$389)</f>
        <v>0</v>
      </c>
      <c r="L114" s="11">
        <f t="shared" si="10"/>
        <v>90000</v>
      </c>
      <c r="M114" s="11">
        <f t="shared" si="11"/>
        <v>0</v>
      </c>
      <c r="N114" s="11">
        <f t="shared" si="12"/>
        <v>390000</v>
      </c>
    </row>
    <row r="115" spans="1:14" s="406" customFormat="1" x14ac:dyDescent="0.25">
      <c r="A115" s="10">
        <v>25</v>
      </c>
      <c r="B115" s="10" t="s">
        <v>321</v>
      </c>
      <c r="C115" s="8" t="s">
        <v>187</v>
      </c>
      <c r="D115" s="8" t="s">
        <v>187</v>
      </c>
      <c r="E115" s="590">
        <v>330000</v>
      </c>
      <c r="F115" s="11">
        <f>SUMIF('cth sp'!$Q$9:$Q$107,B115,'cth sp'!$R$9:$R$107)</f>
        <v>30000</v>
      </c>
      <c r="G115" s="11">
        <f>SUMIF('cth sp'!$Q$9:$Q$107,B115,'cth sp'!$S$9:$S$107)</f>
        <v>0</v>
      </c>
      <c r="H115" s="11">
        <f>SUMIF('cth sp'!$Q$114:$Q$158,B115,'cth sp'!$R$114:$R$158)</f>
        <v>30000</v>
      </c>
      <c r="I115" s="11">
        <f>SUMIF('cth sp'!$Q$114:$Q$158,B115,'cth sp'!$S$114:$S$158)</f>
        <v>0</v>
      </c>
      <c r="J115" s="11">
        <f>SUMIF('cth sp'!$Q$159:$Q$389,B115,'cth sp'!$R$159:$R$389)</f>
        <v>0</v>
      </c>
      <c r="K115" s="11">
        <f>SUMIF('cth sp'!$Q$159:$Q$389,B115,'cth sp'!$S$159:$S$389)</f>
        <v>0</v>
      </c>
      <c r="L115" s="11">
        <f t="shared" si="10"/>
        <v>60000</v>
      </c>
      <c r="M115" s="11">
        <f t="shared" si="11"/>
        <v>0</v>
      </c>
      <c r="N115" s="11">
        <f t="shared" si="12"/>
        <v>390000</v>
      </c>
    </row>
    <row r="116" spans="1:14" s="406" customFormat="1" x14ac:dyDescent="0.25">
      <c r="A116" s="10">
        <v>26</v>
      </c>
      <c r="B116" s="12" t="s">
        <v>322</v>
      </c>
      <c r="C116" s="8" t="s">
        <v>188</v>
      </c>
      <c r="D116" s="8" t="s">
        <v>188</v>
      </c>
      <c r="E116" s="590">
        <v>180000</v>
      </c>
      <c r="F116" s="11">
        <f>SUMIF('cth sp'!$Q$9:$Q$107,B116,'cth sp'!$R$9:$R$107)</f>
        <v>0</v>
      </c>
      <c r="G116" s="11">
        <f>SUMIF('cth sp'!$Q$9:$Q$107,B116,'cth sp'!$S$9:$S$107)</f>
        <v>0</v>
      </c>
      <c r="H116" s="11">
        <f>SUMIF('cth sp'!$Q$114:$Q$158,B116,'cth sp'!$R$114:$R$158)</f>
        <v>0</v>
      </c>
      <c r="I116" s="11">
        <f>SUMIF('cth sp'!$Q$114:$Q$158,B116,'cth sp'!$S$114:$S$158)</f>
        <v>0</v>
      </c>
      <c r="J116" s="11">
        <f>SUMIF('cth sp'!$Q$159:$Q$389,B116,'cth sp'!$R$159:$R$389)</f>
        <v>0</v>
      </c>
      <c r="K116" s="11">
        <f>SUMIF('cth sp'!$Q$159:$Q$389,B116,'cth sp'!$S$159:$S$389)</f>
        <v>0</v>
      </c>
      <c r="L116" s="11">
        <f t="shared" si="10"/>
        <v>0</v>
      </c>
      <c r="M116" s="11">
        <f t="shared" si="11"/>
        <v>0</v>
      </c>
      <c r="N116" s="11">
        <f t="shared" si="12"/>
        <v>180000</v>
      </c>
    </row>
    <row r="117" spans="1:14" s="406" customFormat="1" x14ac:dyDescent="0.25">
      <c r="A117" s="10">
        <v>27</v>
      </c>
      <c r="B117" s="10" t="s">
        <v>323</v>
      </c>
      <c r="C117" s="8" t="s">
        <v>189</v>
      </c>
      <c r="D117" s="8" t="s">
        <v>189</v>
      </c>
      <c r="E117" s="590">
        <v>360000</v>
      </c>
      <c r="F117" s="11">
        <f>SUMIF('cth sp'!$Q$9:$Q$107,B117,'cth sp'!$R$9:$R$107)</f>
        <v>30000</v>
      </c>
      <c r="G117" s="11">
        <f>SUMIF('cth sp'!$Q$9:$Q$107,B117,'cth sp'!$S$9:$S$107)</f>
        <v>0</v>
      </c>
      <c r="H117" s="11">
        <f>SUMIF('cth sp'!$Q$114:$Q$158,B117,'cth sp'!$R$114:$R$158)</f>
        <v>0</v>
      </c>
      <c r="I117" s="11">
        <f>SUMIF('cth sp'!$Q$114:$Q$158,B117,'cth sp'!$S$114:$S$158)</f>
        <v>0</v>
      </c>
      <c r="J117" s="11">
        <f>SUMIF('cth sp'!$Q$159:$Q$389,B117,'cth sp'!$R$159:$R$389)</f>
        <v>0</v>
      </c>
      <c r="K117" s="11">
        <f>SUMIF('cth sp'!$Q$159:$Q$389,B117,'cth sp'!$S$159:$S$389)</f>
        <v>0</v>
      </c>
      <c r="L117" s="11">
        <f t="shared" si="10"/>
        <v>30000</v>
      </c>
      <c r="M117" s="11">
        <f t="shared" si="11"/>
        <v>0</v>
      </c>
      <c r="N117" s="11">
        <f t="shared" si="12"/>
        <v>390000</v>
      </c>
    </row>
    <row r="118" spans="1:14" s="406" customFormat="1" x14ac:dyDescent="0.25">
      <c r="A118" s="10">
        <v>28</v>
      </c>
      <c r="B118" s="10" t="s">
        <v>324</v>
      </c>
      <c r="C118" s="8" t="s">
        <v>190</v>
      </c>
      <c r="D118" s="8" t="s">
        <v>190</v>
      </c>
      <c r="E118" s="590">
        <v>270000</v>
      </c>
      <c r="F118" s="11">
        <f>SUMIF('cth sp'!$Q$9:$Q$107,B118,'cth sp'!$R$9:$R$107)</f>
        <v>0</v>
      </c>
      <c r="G118" s="11">
        <f>SUMIF('cth sp'!$Q$9:$Q$107,B118,'cth sp'!$S$9:$S$107)</f>
        <v>0</v>
      </c>
      <c r="H118" s="11">
        <f>SUMIF('cth sp'!$Q$114:$Q$158,B118,'cth sp'!$R$114:$R$158)</f>
        <v>0</v>
      </c>
      <c r="I118" s="11">
        <f>SUMIF('cth sp'!$Q$114:$Q$158,B118,'cth sp'!$S$114:$S$158)</f>
        <v>0</v>
      </c>
      <c r="J118" s="11">
        <f>SUMIF('cth sp'!$Q$159:$Q$389,B118,'cth sp'!$R$159:$R$389)</f>
        <v>0</v>
      </c>
      <c r="K118" s="11">
        <f>SUMIF('cth sp'!$Q$159:$Q$389,B118,'cth sp'!$S$159:$S$389)</f>
        <v>0</v>
      </c>
      <c r="L118" s="11">
        <f t="shared" si="10"/>
        <v>0</v>
      </c>
      <c r="M118" s="11">
        <f t="shared" si="11"/>
        <v>0</v>
      </c>
      <c r="N118" s="11">
        <f t="shared" si="12"/>
        <v>270000</v>
      </c>
    </row>
    <row r="119" spans="1:14" s="406" customFormat="1" x14ac:dyDescent="0.25">
      <c r="A119" s="10">
        <v>29</v>
      </c>
      <c r="B119" s="10" t="s">
        <v>325</v>
      </c>
      <c r="C119" s="8" t="s">
        <v>191</v>
      </c>
      <c r="D119" s="8" t="s">
        <v>191</v>
      </c>
      <c r="E119" s="590">
        <v>240000</v>
      </c>
      <c r="F119" s="11">
        <f>SUMIF('cth sp'!$Q$9:$Q$107,B119,'cth sp'!$R$9:$R$107)</f>
        <v>0</v>
      </c>
      <c r="G119" s="11">
        <f>SUMIF('cth sp'!$Q$9:$Q$107,B119,'cth sp'!$S$9:$S$107)</f>
        <v>0</v>
      </c>
      <c r="H119" s="11">
        <f>SUMIF('cth sp'!$Q$114:$Q$158,B119,'cth sp'!$R$114:$R$158)</f>
        <v>0</v>
      </c>
      <c r="I119" s="11">
        <f>SUMIF('cth sp'!$Q$114:$Q$158,B119,'cth sp'!$S$114:$S$158)</f>
        <v>0</v>
      </c>
      <c r="J119" s="11">
        <f>SUMIF('cth sp'!$Q$159:$Q$389,B119,'cth sp'!$R$159:$R$389)</f>
        <v>0</v>
      </c>
      <c r="K119" s="11">
        <f>SUMIF('cth sp'!$Q$159:$Q$389,B119,'cth sp'!$S$159:$S$389)</f>
        <v>0</v>
      </c>
      <c r="L119" s="11">
        <f t="shared" si="10"/>
        <v>0</v>
      </c>
      <c r="M119" s="11">
        <f t="shared" si="11"/>
        <v>0</v>
      </c>
      <c r="N119" s="11">
        <f t="shared" si="12"/>
        <v>240000</v>
      </c>
    </row>
    <row r="120" spans="1:14" s="406" customFormat="1" x14ac:dyDescent="0.25">
      <c r="A120" s="10">
        <v>30</v>
      </c>
      <c r="B120" s="10" t="s">
        <v>326</v>
      </c>
      <c r="C120" s="8" t="s">
        <v>192</v>
      </c>
      <c r="D120" s="8" t="s">
        <v>192</v>
      </c>
      <c r="E120" s="590">
        <v>270000</v>
      </c>
      <c r="F120" s="11">
        <f>SUMIF('cth sp'!$Q$9:$Q$107,B120,'cth sp'!$R$9:$R$107)</f>
        <v>0</v>
      </c>
      <c r="G120" s="11">
        <f>SUMIF('cth sp'!$Q$9:$Q$107,B120,'cth sp'!$S$9:$S$107)</f>
        <v>0</v>
      </c>
      <c r="H120" s="11">
        <f>SUMIF('cth sp'!$Q$114:$Q$158,B120,'cth sp'!$R$114:$R$158)</f>
        <v>0</v>
      </c>
      <c r="I120" s="11">
        <f>SUMIF('cth sp'!$Q$114:$Q$158,B120,'cth sp'!$S$114:$S$158)</f>
        <v>0</v>
      </c>
      <c r="J120" s="11">
        <f>SUMIF('cth sp'!$Q$159:$Q$389,B120,'cth sp'!$R$159:$R$389)</f>
        <v>0</v>
      </c>
      <c r="K120" s="11">
        <f>SUMIF('cth sp'!$Q$159:$Q$389,B120,'cth sp'!$S$159:$S$389)</f>
        <v>0</v>
      </c>
      <c r="L120" s="11">
        <f t="shared" si="10"/>
        <v>0</v>
      </c>
      <c r="M120" s="11">
        <f t="shared" si="11"/>
        <v>0</v>
      </c>
      <c r="N120" s="11">
        <f t="shared" si="12"/>
        <v>270000</v>
      </c>
    </row>
    <row r="121" spans="1:14" s="406" customFormat="1" x14ac:dyDescent="0.25">
      <c r="A121" s="10">
        <v>31</v>
      </c>
      <c r="B121" s="10" t="s">
        <v>327</v>
      </c>
      <c r="C121" s="8" t="s">
        <v>193</v>
      </c>
      <c r="D121" s="8" t="s">
        <v>193</v>
      </c>
      <c r="E121" s="590">
        <v>300000</v>
      </c>
      <c r="F121" s="11">
        <f>SUMIF('cth sp'!$Q$9:$Q$107,B121,'cth sp'!$R$9:$R$107)</f>
        <v>30000</v>
      </c>
      <c r="G121" s="11">
        <f>SUMIF('cth sp'!$Q$9:$Q$107,B121,'cth sp'!$S$9:$S$107)</f>
        <v>0</v>
      </c>
      <c r="H121" s="11">
        <f>SUMIF('cth sp'!$Q$114:$Q$158,B121,'cth sp'!$R$114:$R$158)</f>
        <v>0</v>
      </c>
      <c r="I121" s="11">
        <f>SUMIF('cth sp'!$Q$114:$Q$158,B121,'cth sp'!$S$114:$S$158)</f>
        <v>0</v>
      </c>
      <c r="J121" s="11">
        <f>SUMIF('cth sp'!$Q$159:$Q$389,B121,'cth sp'!$R$159:$R$389)</f>
        <v>0</v>
      </c>
      <c r="K121" s="11">
        <f>SUMIF('cth sp'!$Q$159:$Q$389,B121,'cth sp'!$S$159:$S$389)</f>
        <v>0</v>
      </c>
      <c r="L121" s="11">
        <f t="shared" si="10"/>
        <v>30000</v>
      </c>
      <c r="M121" s="11">
        <f t="shared" si="11"/>
        <v>0</v>
      </c>
      <c r="N121" s="11">
        <f t="shared" si="12"/>
        <v>330000</v>
      </c>
    </row>
    <row r="122" spans="1:14" s="406" customFormat="1" x14ac:dyDescent="0.25">
      <c r="A122" s="10">
        <v>32</v>
      </c>
      <c r="B122" s="10" t="s">
        <v>328</v>
      </c>
      <c r="C122" s="8" t="s">
        <v>194</v>
      </c>
      <c r="D122" s="8" t="s">
        <v>194</v>
      </c>
      <c r="E122" s="590">
        <v>360000</v>
      </c>
      <c r="F122" s="11">
        <f>SUMIF('cth sp'!$Q$9:$Q$107,B122,'cth sp'!$R$9:$R$107)</f>
        <v>0</v>
      </c>
      <c r="G122" s="11">
        <f>SUMIF('cth sp'!$Q$9:$Q$107,B122,'cth sp'!$S$9:$S$107)</f>
        <v>0</v>
      </c>
      <c r="H122" s="11">
        <f>SUMIF('cth sp'!$Q$114:$Q$158,B122,'cth sp'!$R$114:$R$158)</f>
        <v>0</v>
      </c>
      <c r="I122" s="11">
        <f>SUMIF('cth sp'!$Q$114:$Q$158,B122,'cth sp'!$S$114:$S$158)</f>
        <v>0</v>
      </c>
      <c r="J122" s="11">
        <f>SUMIF('cth sp'!$Q$159:$Q$389,B122,'cth sp'!$R$159:$R$389)</f>
        <v>0</v>
      </c>
      <c r="K122" s="11">
        <f>SUMIF('cth sp'!$Q$159:$Q$389,B122,'cth sp'!$S$159:$S$389)</f>
        <v>0</v>
      </c>
      <c r="L122" s="11">
        <f t="shared" si="10"/>
        <v>0</v>
      </c>
      <c r="M122" s="11">
        <f t="shared" si="11"/>
        <v>0</v>
      </c>
      <c r="N122" s="11">
        <f t="shared" si="12"/>
        <v>360000</v>
      </c>
    </row>
    <row r="123" spans="1:14" s="406" customFormat="1" x14ac:dyDescent="0.25">
      <c r="A123" s="10">
        <v>33</v>
      </c>
      <c r="B123" s="10" t="s">
        <v>329</v>
      </c>
      <c r="C123" s="8" t="s">
        <v>195</v>
      </c>
      <c r="D123" s="8" t="s">
        <v>195</v>
      </c>
      <c r="E123" s="590">
        <v>0</v>
      </c>
      <c r="F123" s="11">
        <f>SUMIF('cth sp'!$Q$9:$Q$107,B123,'cth sp'!$R$9:$R$107)</f>
        <v>0</v>
      </c>
      <c r="G123" s="11">
        <f>SUMIF('cth sp'!$Q$9:$Q$107,B123,'cth sp'!$S$9:$S$107)</f>
        <v>0</v>
      </c>
      <c r="H123" s="11">
        <f>SUMIF('cth sp'!$Q$114:$Q$158,B123,'cth sp'!$R$114:$R$158)</f>
        <v>0</v>
      </c>
      <c r="I123" s="11">
        <f>SUMIF('cth sp'!$Q$114:$Q$158,B123,'cth sp'!$S$114:$S$158)</f>
        <v>0</v>
      </c>
      <c r="J123" s="11">
        <f>SUMIF('cth sp'!$Q$159:$Q$389,B123,'cth sp'!$R$159:$R$389)</f>
        <v>0</v>
      </c>
      <c r="K123" s="11">
        <f>SUMIF('cth sp'!$Q$159:$Q$389,B123,'cth sp'!$S$159:$S$389)</f>
        <v>0</v>
      </c>
      <c r="L123" s="11">
        <f t="shared" si="10"/>
        <v>0</v>
      </c>
      <c r="M123" s="11">
        <f t="shared" si="11"/>
        <v>0</v>
      </c>
      <c r="N123" s="599">
        <f t="shared" si="12"/>
        <v>0</v>
      </c>
    </row>
    <row r="124" spans="1:14" s="406" customFormat="1" x14ac:dyDescent="0.25">
      <c r="A124" s="10">
        <v>34</v>
      </c>
      <c r="B124" s="10" t="s">
        <v>330</v>
      </c>
      <c r="C124" s="8" t="s">
        <v>196</v>
      </c>
      <c r="D124" s="8" t="s">
        <v>196</v>
      </c>
      <c r="E124" s="590">
        <v>240000</v>
      </c>
      <c r="F124" s="11">
        <f>SUMIF('cth sp'!$Q$9:$Q$107,B124,'cth sp'!$R$9:$R$107)</f>
        <v>0</v>
      </c>
      <c r="G124" s="11">
        <f>SUMIF('cth sp'!$Q$9:$Q$107,B124,'cth sp'!$S$9:$S$107)</f>
        <v>0</v>
      </c>
      <c r="H124" s="11">
        <f>SUMIF('cth sp'!$Q$114:$Q$158,B124,'cth sp'!$R$114:$R$158)</f>
        <v>0</v>
      </c>
      <c r="I124" s="11">
        <f>SUMIF('cth sp'!$Q$114:$Q$158,B124,'cth sp'!$S$114:$S$158)</f>
        <v>0</v>
      </c>
      <c r="J124" s="11">
        <f>SUMIF('cth sp'!$Q$159:$Q$389,B124,'cth sp'!$R$159:$R$389)</f>
        <v>0</v>
      </c>
      <c r="K124" s="11">
        <f>SUMIF('cth sp'!$Q$159:$Q$389,B124,'cth sp'!$S$159:$S$389)</f>
        <v>0</v>
      </c>
      <c r="L124" s="11">
        <f t="shared" si="10"/>
        <v>0</v>
      </c>
      <c r="M124" s="11">
        <f t="shared" si="11"/>
        <v>0</v>
      </c>
      <c r="N124" s="11">
        <f t="shared" si="12"/>
        <v>240000</v>
      </c>
    </row>
    <row r="125" spans="1:14" s="406" customFormat="1" x14ac:dyDescent="0.25">
      <c r="A125" s="10">
        <v>35</v>
      </c>
      <c r="B125" s="10" t="s">
        <v>331</v>
      </c>
      <c r="C125" s="10" t="s">
        <v>212</v>
      </c>
      <c r="D125" s="12" t="s">
        <v>212</v>
      </c>
      <c r="E125" s="590">
        <v>210000</v>
      </c>
      <c r="F125" s="11">
        <f>SUMIF('cth sp'!$Q$9:$Q$107,B125,'cth sp'!$R$9:$R$107)</f>
        <v>0</v>
      </c>
      <c r="G125" s="11">
        <f>SUMIF('cth sp'!$Q$9:$Q$107,B125,'cth sp'!$S$9:$S$107)</f>
        <v>0</v>
      </c>
      <c r="H125" s="11">
        <f>SUMIF('cth sp'!$Q$114:$Q$158,B125,'cth sp'!$R$114:$R$158)</f>
        <v>0</v>
      </c>
      <c r="I125" s="11">
        <f>SUMIF('cth sp'!$Q$114:$Q$158,B125,'cth sp'!$S$114:$S$158)</f>
        <v>0</v>
      </c>
      <c r="J125" s="11">
        <f>SUMIF('cth sp'!$Q$159:$Q$389,B125,'cth sp'!$R$159:$R$389)</f>
        <v>0</v>
      </c>
      <c r="K125" s="11">
        <f>SUMIF('cth sp'!$Q$159:$Q$389,B125,'cth sp'!$S$159:$S$389)</f>
        <v>0</v>
      </c>
      <c r="L125" s="11">
        <f t="shared" si="10"/>
        <v>0</v>
      </c>
      <c r="M125" s="11">
        <f t="shared" si="11"/>
        <v>0</v>
      </c>
      <c r="N125" s="11">
        <f t="shared" si="12"/>
        <v>210000</v>
      </c>
    </row>
    <row r="126" spans="1:14" s="406" customFormat="1" x14ac:dyDescent="0.25">
      <c r="A126" s="10">
        <v>36</v>
      </c>
      <c r="B126" s="10" t="s">
        <v>332</v>
      </c>
      <c r="C126" s="10" t="s">
        <v>213</v>
      </c>
      <c r="D126" s="12" t="s">
        <v>213</v>
      </c>
      <c r="E126" s="590">
        <v>270000</v>
      </c>
      <c r="F126" s="11">
        <f>SUMIF('cth sp'!$Q$9:$Q$107,B126,'cth sp'!$R$9:$R$107)</f>
        <v>30000</v>
      </c>
      <c r="G126" s="11">
        <f>SUMIF('cth sp'!$Q$9:$Q$107,B126,'cth sp'!$S$9:$S$107)</f>
        <v>0</v>
      </c>
      <c r="H126" s="11">
        <f>SUMIF('cth sp'!$Q$114:$Q$158,B126,'cth sp'!$R$114:$R$158)</f>
        <v>0</v>
      </c>
      <c r="I126" s="11">
        <f>SUMIF('cth sp'!$Q$114:$Q$158,B126,'cth sp'!$S$114:$S$158)</f>
        <v>0</v>
      </c>
      <c r="J126" s="11">
        <f>SUMIF('cth sp'!$Q$159:$Q$389,B126,'cth sp'!$R$159:$R$389)</f>
        <v>0</v>
      </c>
      <c r="K126" s="11">
        <f>SUMIF('cth sp'!$Q$159:$Q$389,B126,'cth sp'!$S$159:$S$389)</f>
        <v>0</v>
      </c>
      <c r="L126" s="11">
        <f t="shared" si="10"/>
        <v>30000</v>
      </c>
      <c r="M126" s="11">
        <f t="shared" si="11"/>
        <v>0</v>
      </c>
      <c r="N126" s="11">
        <f t="shared" si="12"/>
        <v>300000</v>
      </c>
    </row>
    <row r="127" spans="1:14" s="406" customFormat="1" x14ac:dyDescent="0.25">
      <c r="A127" s="10">
        <v>37</v>
      </c>
      <c r="B127" s="10" t="s">
        <v>333</v>
      </c>
      <c r="C127" s="10" t="s">
        <v>220</v>
      </c>
      <c r="D127" s="12" t="s">
        <v>220</v>
      </c>
      <c r="E127" s="590">
        <v>300000</v>
      </c>
      <c r="F127" s="11">
        <f>SUMIF('cth sp'!$Q$9:$Q$107,B127,'cth sp'!$R$9:$R$107)</f>
        <v>0</v>
      </c>
      <c r="G127" s="11">
        <f>SUMIF('cth sp'!$Q$9:$Q$107,B127,'cth sp'!$S$9:$S$107)</f>
        <v>0</v>
      </c>
      <c r="H127" s="11">
        <f>SUMIF('cth sp'!$Q$114:$Q$158,B127,'cth sp'!$R$114:$R$158)</f>
        <v>0</v>
      </c>
      <c r="I127" s="11">
        <f>SUMIF('cth sp'!$Q$114:$Q$158,B127,'cth sp'!$S$114:$S$158)</f>
        <v>0</v>
      </c>
      <c r="J127" s="11">
        <f>SUMIF('cth sp'!$Q$159:$Q$389,B127,'cth sp'!$R$159:$R$389)</f>
        <v>0</v>
      </c>
      <c r="K127" s="11">
        <f>SUMIF('cth sp'!$Q$159:$Q$389,B127,'cth sp'!$S$159:$S$389)</f>
        <v>0</v>
      </c>
      <c r="L127" s="11">
        <f t="shared" si="10"/>
        <v>0</v>
      </c>
      <c r="M127" s="11">
        <f t="shared" si="11"/>
        <v>0</v>
      </c>
      <c r="N127" s="11">
        <f t="shared" si="12"/>
        <v>300000</v>
      </c>
    </row>
    <row r="128" spans="1:14" s="406" customFormat="1" x14ac:dyDescent="0.25">
      <c r="A128" s="10">
        <v>38</v>
      </c>
      <c r="B128" s="10" t="s">
        <v>334</v>
      </c>
      <c r="C128" s="10" t="s">
        <v>214</v>
      </c>
      <c r="D128" s="12" t="s">
        <v>214</v>
      </c>
      <c r="E128" s="590">
        <v>210000</v>
      </c>
      <c r="F128" s="11">
        <f>SUMIF('cth sp'!$Q$9:$Q$107,B128,'cth sp'!$R$9:$R$107)</f>
        <v>0</v>
      </c>
      <c r="G128" s="11">
        <f>SUMIF('cth sp'!$Q$9:$Q$107,B128,'cth sp'!$S$9:$S$107)</f>
        <v>0</v>
      </c>
      <c r="H128" s="11">
        <f>SUMIF('cth sp'!$Q$114:$Q$158,B128,'cth sp'!$R$114:$R$158)</f>
        <v>0</v>
      </c>
      <c r="I128" s="11">
        <f>SUMIF('cth sp'!$Q$114:$Q$158,B128,'cth sp'!$S$114:$S$158)</f>
        <v>0</v>
      </c>
      <c r="J128" s="11">
        <f>SUMIF('cth sp'!$Q$159:$Q$389,B128,'cth sp'!$R$159:$R$389)</f>
        <v>0</v>
      </c>
      <c r="K128" s="11">
        <f>SUMIF('cth sp'!$Q$159:$Q$389,B128,'cth sp'!$S$159:$S$389)</f>
        <v>0</v>
      </c>
      <c r="L128" s="11">
        <f t="shared" si="10"/>
        <v>0</v>
      </c>
      <c r="M128" s="11">
        <f t="shared" si="11"/>
        <v>0</v>
      </c>
      <c r="N128" s="11">
        <f t="shared" si="12"/>
        <v>210000</v>
      </c>
    </row>
    <row r="129" spans="1:14" s="406" customFormat="1" x14ac:dyDescent="0.25">
      <c r="A129" s="10">
        <v>39</v>
      </c>
      <c r="B129" s="10" t="s">
        <v>335</v>
      </c>
      <c r="C129" s="12" t="s">
        <v>221</v>
      </c>
      <c r="D129" s="12" t="s">
        <v>221</v>
      </c>
      <c r="E129" s="590">
        <v>0</v>
      </c>
      <c r="F129" s="11">
        <f>SUMIF('cth sp'!$Q$9:$Q$107,B129,'cth sp'!$R$9:$R$107)</f>
        <v>0</v>
      </c>
      <c r="G129" s="11">
        <f>SUMIF('cth sp'!$Q$9:$Q$107,B129,'cth sp'!$S$9:$S$107)</f>
        <v>0</v>
      </c>
      <c r="H129" s="11">
        <f>SUMIF('cth sp'!$Q$114:$Q$158,B129,'cth sp'!$R$114:$R$158)</f>
        <v>0</v>
      </c>
      <c r="I129" s="11">
        <f>SUMIF('cth sp'!$Q$114:$Q$158,B129,'cth sp'!$S$114:$S$158)</f>
        <v>0</v>
      </c>
      <c r="J129" s="11">
        <f>SUMIF('cth sp'!$Q$159:$Q$389,B129,'cth sp'!$R$159:$R$389)</f>
        <v>0</v>
      </c>
      <c r="K129" s="11">
        <f>SUMIF('cth sp'!$Q$159:$Q$389,B129,'cth sp'!$S$159:$S$389)</f>
        <v>0</v>
      </c>
      <c r="L129" s="11">
        <f t="shared" si="10"/>
        <v>0</v>
      </c>
      <c r="M129" s="11">
        <f t="shared" si="11"/>
        <v>0</v>
      </c>
      <c r="N129" s="599">
        <f t="shared" si="12"/>
        <v>0</v>
      </c>
    </row>
    <row r="130" spans="1:14" s="406" customFormat="1" x14ac:dyDescent="0.25">
      <c r="A130" s="10">
        <v>40</v>
      </c>
      <c r="B130" s="10" t="s">
        <v>336</v>
      </c>
      <c r="C130" s="10" t="s">
        <v>222</v>
      </c>
      <c r="D130" s="12" t="s">
        <v>222</v>
      </c>
      <c r="E130" s="590">
        <v>300000</v>
      </c>
      <c r="F130" s="11">
        <f>SUMIF('cth sp'!$Q$9:$Q$107,B130,'cth sp'!$R$9:$R$107)</f>
        <v>30000</v>
      </c>
      <c r="G130" s="11">
        <f>SUMIF('cth sp'!$Q$9:$Q$107,B130,'cth sp'!$S$9:$S$107)</f>
        <v>0</v>
      </c>
      <c r="H130" s="11">
        <f>SUMIF('cth sp'!$Q$114:$Q$158,B130,'cth sp'!$R$114:$R$158)</f>
        <v>30000</v>
      </c>
      <c r="I130" s="11">
        <f>SUMIF('cth sp'!$Q$114:$Q$158,B130,'cth sp'!$S$114:$S$158)</f>
        <v>0</v>
      </c>
      <c r="J130" s="11">
        <f>SUMIF('cth sp'!$Q$159:$Q$389,B130,'cth sp'!$R$159:$R$389)</f>
        <v>0</v>
      </c>
      <c r="K130" s="11">
        <f>SUMIF('cth sp'!$Q$159:$Q$389,B130,'cth sp'!$S$159:$S$389)</f>
        <v>0</v>
      </c>
      <c r="L130" s="11">
        <f t="shared" si="10"/>
        <v>60000</v>
      </c>
      <c r="M130" s="11">
        <f t="shared" si="11"/>
        <v>0</v>
      </c>
      <c r="N130" s="11">
        <f t="shared" si="12"/>
        <v>360000</v>
      </c>
    </row>
    <row r="131" spans="1:14" s="406" customFormat="1" x14ac:dyDescent="0.25">
      <c r="A131" s="10">
        <v>41</v>
      </c>
      <c r="B131" s="10" t="s">
        <v>337</v>
      </c>
      <c r="C131" s="10" t="s">
        <v>223</v>
      </c>
      <c r="D131" s="12" t="s">
        <v>223</v>
      </c>
      <c r="E131" s="590">
        <v>180000</v>
      </c>
      <c r="F131" s="11">
        <f>SUMIF('cth sp'!$Q$9:$Q$107,B131,'cth sp'!$R$9:$R$107)</f>
        <v>0</v>
      </c>
      <c r="G131" s="11">
        <f>SUMIF('cth sp'!$Q$9:$Q$107,B131,'cth sp'!$S$9:$S$107)</f>
        <v>0</v>
      </c>
      <c r="H131" s="11">
        <f>SUMIF('cth sp'!$Q$114:$Q$158,B131,'cth sp'!$R$114:$R$158)</f>
        <v>0</v>
      </c>
      <c r="I131" s="11">
        <f>SUMIF('cth sp'!$Q$114:$Q$158,B131,'cth sp'!$S$114:$S$158)</f>
        <v>0</v>
      </c>
      <c r="J131" s="11">
        <f>SUMIF('cth sp'!$Q$159:$Q$389,B131,'cth sp'!$R$159:$R$389)</f>
        <v>0</v>
      </c>
      <c r="K131" s="11">
        <f>SUMIF('cth sp'!$Q$159:$Q$389,B131,'cth sp'!$S$159:$S$389)</f>
        <v>0</v>
      </c>
      <c r="L131" s="11">
        <f t="shared" si="10"/>
        <v>0</v>
      </c>
      <c r="M131" s="11">
        <f t="shared" si="11"/>
        <v>0</v>
      </c>
      <c r="N131" s="11">
        <f t="shared" si="12"/>
        <v>180000</v>
      </c>
    </row>
    <row r="132" spans="1:14" s="406" customFormat="1" x14ac:dyDescent="0.25">
      <c r="A132" s="10">
        <v>42</v>
      </c>
      <c r="B132" s="10" t="s">
        <v>338</v>
      </c>
      <c r="C132" s="10" t="s">
        <v>224</v>
      </c>
      <c r="D132" s="12" t="s">
        <v>670</v>
      </c>
      <c r="E132" s="590">
        <v>270000</v>
      </c>
      <c r="F132" s="11">
        <f>SUMIF('cth sp'!$Q$9:$Q$107,B132,'cth sp'!$R$9:$R$107)</f>
        <v>0</v>
      </c>
      <c r="G132" s="11">
        <f>SUMIF('cth sp'!$Q$9:$Q$107,B132,'cth sp'!$S$9:$S$107)</f>
        <v>0</v>
      </c>
      <c r="H132" s="11">
        <f>SUMIF('cth sp'!$Q$114:$Q$158,B132,'cth sp'!$R$114:$R$158)</f>
        <v>30000</v>
      </c>
      <c r="I132" s="11">
        <f>SUMIF('cth sp'!$Q$114:$Q$158,B132,'cth sp'!$S$114:$S$158)</f>
        <v>0</v>
      </c>
      <c r="J132" s="11">
        <f>SUMIF('cth sp'!$Q$159:$Q$389,B132,'cth sp'!$R$159:$R$389)</f>
        <v>0</v>
      </c>
      <c r="K132" s="11">
        <f>SUMIF('cth sp'!$Q$159:$Q$389,B132,'cth sp'!$S$159:$S$389)</f>
        <v>0</v>
      </c>
      <c r="L132" s="11">
        <f t="shared" si="10"/>
        <v>30000</v>
      </c>
      <c r="M132" s="11">
        <f t="shared" si="11"/>
        <v>0</v>
      </c>
      <c r="N132" s="11">
        <f t="shared" si="12"/>
        <v>300000</v>
      </c>
    </row>
    <row r="133" spans="1:14" s="406" customFormat="1" x14ac:dyDescent="0.25">
      <c r="A133" s="10">
        <v>43</v>
      </c>
      <c r="B133" s="10" t="s">
        <v>339</v>
      </c>
      <c r="C133" s="10" t="s">
        <v>225</v>
      </c>
      <c r="D133" s="12" t="s">
        <v>225</v>
      </c>
      <c r="E133" s="590">
        <v>240000</v>
      </c>
      <c r="F133" s="11">
        <f>SUMIF('cth sp'!$Q$9:$Q$107,B133,'cth sp'!$R$9:$R$107)</f>
        <v>30000</v>
      </c>
      <c r="G133" s="11">
        <f>SUMIF('cth sp'!$Q$9:$Q$107,B133,'cth sp'!$S$9:$S$107)</f>
        <v>0</v>
      </c>
      <c r="H133" s="11">
        <f>SUMIF('cth sp'!$Q$114:$Q$158,B133,'cth sp'!$R$114:$R$158)</f>
        <v>0</v>
      </c>
      <c r="I133" s="11">
        <f>SUMIF('cth sp'!$Q$114:$Q$158,B133,'cth sp'!$S$114:$S$158)</f>
        <v>0</v>
      </c>
      <c r="J133" s="11">
        <f>SUMIF('cth sp'!$Q$159:$Q$389,B133,'cth sp'!$R$159:$R$389)</f>
        <v>0</v>
      </c>
      <c r="K133" s="11">
        <f>SUMIF('cth sp'!$Q$159:$Q$389,B133,'cth sp'!$S$159:$S$389)</f>
        <v>0</v>
      </c>
      <c r="L133" s="11">
        <f t="shared" si="10"/>
        <v>30000</v>
      </c>
      <c r="M133" s="11">
        <f t="shared" si="11"/>
        <v>0</v>
      </c>
      <c r="N133" s="11">
        <f t="shared" si="12"/>
        <v>270000</v>
      </c>
    </row>
    <row r="134" spans="1:14" s="406" customFormat="1" x14ac:dyDescent="0.25">
      <c r="A134" s="10">
        <v>44</v>
      </c>
      <c r="B134" s="10" t="s">
        <v>340</v>
      </c>
      <c r="C134" s="10" t="s">
        <v>226</v>
      </c>
      <c r="D134" s="12" t="s">
        <v>226</v>
      </c>
      <c r="E134" s="590">
        <v>420000</v>
      </c>
      <c r="F134" s="11">
        <f>SUMIF('cth sp'!$Q$9:$Q$107,B134,'cth sp'!$R$9:$R$107)</f>
        <v>60000</v>
      </c>
      <c r="G134" s="11">
        <f>SUMIF('cth sp'!$Q$9:$Q$107,B134,'cth sp'!$S$9:$S$107)</f>
        <v>0</v>
      </c>
      <c r="H134" s="11">
        <f>SUMIF('cth sp'!$Q$114:$Q$158,B134,'cth sp'!$R$114:$R$158)</f>
        <v>0</v>
      </c>
      <c r="I134" s="11">
        <f>SUMIF('cth sp'!$Q$114:$Q$158,B134,'cth sp'!$S$114:$S$158)</f>
        <v>0</v>
      </c>
      <c r="J134" s="11">
        <f>SUMIF('cth sp'!$Q$159:$Q$389,B134,'cth sp'!$R$159:$R$389)</f>
        <v>0</v>
      </c>
      <c r="K134" s="11">
        <f>SUMIF('cth sp'!$Q$159:$Q$389,B134,'cth sp'!$S$159:$S$389)</f>
        <v>0</v>
      </c>
      <c r="L134" s="11">
        <f t="shared" si="10"/>
        <v>60000</v>
      </c>
      <c r="M134" s="11">
        <f t="shared" si="11"/>
        <v>0</v>
      </c>
      <c r="N134" s="11">
        <f t="shared" si="12"/>
        <v>480000</v>
      </c>
    </row>
    <row r="135" spans="1:14" s="406" customFormat="1" x14ac:dyDescent="0.25">
      <c r="A135" s="10">
        <v>45</v>
      </c>
      <c r="B135" s="10" t="s">
        <v>341</v>
      </c>
      <c r="C135" s="10" t="s">
        <v>227</v>
      </c>
      <c r="D135" s="12" t="s">
        <v>227</v>
      </c>
      <c r="E135" s="590">
        <v>270000</v>
      </c>
      <c r="F135" s="11">
        <f>SUMIF('cth sp'!$Q$9:$Q$107,B135,'cth sp'!$R$9:$R$107)</f>
        <v>0</v>
      </c>
      <c r="G135" s="11">
        <f>SUMIF('cth sp'!$Q$9:$Q$107,B135,'cth sp'!$S$9:$S$107)</f>
        <v>0</v>
      </c>
      <c r="H135" s="11">
        <f>SUMIF('cth sp'!$Q$114:$Q$158,B135,'cth sp'!$R$114:$R$158)</f>
        <v>0</v>
      </c>
      <c r="I135" s="11">
        <f>SUMIF('cth sp'!$Q$114:$Q$158,B135,'cth sp'!$S$114:$S$158)</f>
        <v>0</v>
      </c>
      <c r="J135" s="11">
        <f>SUMIF('cth sp'!$Q$159:$Q$389,B135,'cth sp'!$R$159:$R$389)</f>
        <v>0</v>
      </c>
      <c r="K135" s="11">
        <f>SUMIF('cth sp'!$Q$159:$Q$389,B135,'cth sp'!$S$159:$S$389)</f>
        <v>0</v>
      </c>
      <c r="L135" s="11">
        <f t="shared" si="10"/>
        <v>0</v>
      </c>
      <c r="M135" s="11">
        <f t="shared" si="11"/>
        <v>0</v>
      </c>
      <c r="N135" s="11">
        <f t="shared" si="12"/>
        <v>270000</v>
      </c>
    </row>
    <row r="136" spans="1:14" s="406" customFormat="1" x14ac:dyDescent="0.25">
      <c r="A136" s="10">
        <v>46</v>
      </c>
      <c r="B136" s="10" t="s">
        <v>342</v>
      </c>
      <c r="C136" s="10" t="s">
        <v>228</v>
      </c>
      <c r="D136" s="12" t="s">
        <v>228</v>
      </c>
      <c r="E136" s="590">
        <v>180000</v>
      </c>
      <c r="F136" s="11">
        <f>SUMIF('cth sp'!$Q$9:$Q$107,B136,'cth sp'!$R$9:$R$107)</f>
        <v>0</v>
      </c>
      <c r="G136" s="11">
        <f>SUMIF('cth sp'!$Q$9:$Q$107,B136,'cth sp'!$S$9:$S$107)</f>
        <v>0</v>
      </c>
      <c r="H136" s="11">
        <f>SUMIF('cth sp'!$Q$114:$Q$158,B136,'cth sp'!$R$114:$R$158)</f>
        <v>0</v>
      </c>
      <c r="I136" s="11">
        <f>SUMIF('cth sp'!$Q$114:$Q$158,B136,'cth sp'!$S$114:$S$158)</f>
        <v>0</v>
      </c>
      <c r="J136" s="11">
        <f>SUMIF('cth sp'!$Q$159:$Q$389,B136,'cth sp'!$R$159:$R$389)</f>
        <v>0</v>
      </c>
      <c r="K136" s="11">
        <f>SUMIF('cth sp'!$Q$159:$Q$389,B136,'cth sp'!$S$159:$S$389)</f>
        <v>0</v>
      </c>
      <c r="L136" s="11">
        <f t="shared" si="10"/>
        <v>0</v>
      </c>
      <c r="M136" s="11">
        <f t="shared" si="11"/>
        <v>0</v>
      </c>
      <c r="N136" s="11">
        <f t="shared" si="12"/>
        <v>180000</v>
      </c>
    </row>
    <row r="137" spans="1:14" s="406" customFormat="1" x14ac:dyDescent="0.25">
      <c r="A137" s="10">
        <v>47</v>
      </c>
      <c r="B137" s="10" t="s">
        <v>343</v>
      </c>
      <c r="C137" s="10" t="s">
        <v>361</v>
      </c>
      <c r="D137" s="12" t="s">
        <v>361</v>
      </c>
      <c r="E137" s="590">
        <v>150000</v>
      </c>
      <c r="F137" s="11">
        <f>SUMIF('cth sp'!$Q$9:$Q$107,B137,'cth sp'!$R$9:$R$107)</f>
        <v>0</v>
      </c>
      <c r="G137" s="11">
        <f>SUMIF('cth sp'!$Q$9:$Q$107,B137,'cth sp'!$S$9:$S$107)</f>
        <v>0</v>
      </c>
      <c r="H137" s="11">
        <f>SUMIF('cth sp'!$Q$114:$Q$158,B137,'cth sp'!$R$114:$R$158)</f>
        <v>0</v>
      </c>
      <c r="I137" s="11">
        <f>SUMIF('cth sp'!$Q$114:$Q$158,B137,'cth sp'!$S$114:$S$158)</f>
        <v>0</v>
      </c>
      <c r="J137" s="11">
        <f>SUMIF('cth sp'!$Q$159:$Q$389,B137,'cth sp'!$R$159:$R$389)</f>
        <v>0</v>
      </c>
      <c r="K137" s="11">
        <f>SUMIF('cth sp'!$Q$159:$Q$389,B137,'cth sp'!$S$159:$S$389)</f>
        <v>0</v>
      </c>
      <c r="L137" s="11">
        <f t="shared" si="10"/>
        <v>0</v>
      </c>
      <c r="M137" s="11">
        <f t="shared" si="11"/>
        <v>0</v>
      </c>
      <c r="N137" s="11">
        <f t="shared" si="12"/>
        <v>150000</v>
      </c>
    </row>
    <row r="138" spans="1:14" s="406" customFormat="1" x14ac:dyDescent="0.25">
      <c r="A138" s="10">
        <v>48</v>
      </c>
      <c r="B138" s="10" t="s">
        <v>344</v>
      </c>
      <c r="C138" s="10" t="s">
        <v>362</v>
      </c>
      <c r="D138" s="12" t="s">
        <v>362</v>
      </c>
      <c r="E138" s="590">
        <v>210000</v>
      </c>
      <c r="F138" s="11">
        <f>SUMIF('cth sp'!$Q$9:$Q$107,B138,'cth sp'!$R$9:$R$107)</f>
        <v>0</v>
      </c>
      <c r="G138" s="11">
        <f>SUMIF('cth sp'!$Q$9:$Q$107,B138,'cth sp'!$S$9:$S$107)</f>
        <v>0</v>
      </c>
      <c r="H138" s="11">
        <f>SUMIF('cth sp'!$Q$114:$Q$158,B138,'cth sp'!$R$114:$R$158)</f>
        <v>0</v>
      </c>
      <c r="I138" s="11">
        <f>SUMIF('cth sp'!$Q$114:$Q$158,B138,'cth sp'!$S$114:$S$158)</f>
        <v>0</v>
      </c>
      <c r="J138" s="11">
        <f>SUMIF('cth sp'!$Q$159:$Q$389,B138,'cth sp'!$R$159:$R$389)</f>
        <v>0</v>
      </c>
      <c r="K138" s="11">
        <f>SUMIF('cth sp'!$Q$159:$Q$389,B138,'cth sp'!$S$159:$S$389)</f>
        <v>0</v>
      </c>
      <c r="L138" s="11">
        <f t="shared" si="10"/>
        <v>0</v>
      </c>
      <c r="M138" s="11">
        <f t="shared" si="11"/>
        <v>0</v>
      </c>
      <c r="N138" s="11">
        <f t="shared" si="12"/>
        <v>210000</v>
      </c>
    </row>
    <row r="139" spans="1:14" s="406" customFormat="1" x14ac:dyDescent="0.25">
      <c r="A139" s="10">
        <v>49</v>
      </c>
      <c r="B139" s="10" t="s">
        <v>345</v>
      </c>
      <c r="C139" s="10" t="s">
        <v>363</v>
      </c>
      <c r="D139" s="12" t="s">
        <v>363</v>
      </c>
      <c r="E139" s="590">
        <v>210000</v>
      </c>
      <c r="F139" s="11">
        <f>SUMIF('cth sp'!$Q$9:$Q$107,B139,'cth sp'!$R$9:$R$107)</f>
        <v>0</v>
      </c>
      <c r="G139" s="11">
        <f>SUMIF('cth sp'!$Q$9:$Q$107,B139,'cth sp'!$S$9:$S$107)</f>
        <v>0</v>
      </c>
      <c r="H139" s="11">
        <f>SUMIF('cth sp'!$Q$114:$Q$158,B139,'cth sp'!$R$114:$R$158)</f>
        <v>30000</v>
      </c>
      <c r="I139" s="11">
        <f>SUMIF('cth sp'!$Q$114:$Q$158,B139,'cth sp'!$S$114:$S$158)</f>
        <v>0</v>
      </c>
      <c r="J139" s="11">
        <f>SUMIF('cth sp'!$Q$159:$Q$389,B139,'cth sp'!$R$159:$R$389)</f>
        <v>0</v>
      </c>
      <c r="K139" s="11">
        <f>SUMIF('cth sp'!$Q$159:$Q$389,B139,'cth sp'!$S$159:$S$389)</f>
        <v>0</v>
      </c>
      <c r="L139" s="11">
        <f t="shared" si="10"/>
        <v>30000</v>
      </c>
      <c r="M139" s="11">
        <f t="shared" si="11"/>
        <v>0</v>
      </c>
      <c r="N139" s="11">
        <f t="shared" si="12"/>
        <v>240000</v>
      </c>
    </row>
    <row r="140" spans="1:14" s="406" customFormat="1" x14ac:dyDescent="0.25">
      <c r="A140" s="10">
        <v>50</v>
      </c>
      <c r="B140" s="10" t="s">
        <v>346</v>
      </c>
      <c r="C140" s="10" t="s">
        <v>364</v>
      </c>
      <c r="D140" s="12" t="s">
        <v>364</v>
      </c>
      <c r="E140" s="590"/>
      <c r="F140" s="11">
        <f>SUMIF('cth sp'!$Q$9:$Q$107,B140,'cth sp'!$R$9:$R$107)</f>
        <v>0</v>
      </c>
      <c r="G140" s="11">
        <f>SUMIF('cth sp'!$Q$9:$Q$107,B140,'cth sp'!$S$9:$S$107)</f>
        <v>0</v>
      </c>
      <c r="H140" s="11">
        <f>SUMIF('cth sp'!$Q$114:$Q$158,B140,'cth sp'!$R$114:$R$158)</f>
        <v>0</v>
      </c>
      <c r="I140" s="11">
        <f>SUMIF('cth sp'!$Q$114:$Q$158,B140,'cth sp'!$S$114:$S$158)</f>
        <v>0</v>
      </c>
      <c r="J140" s="11">
        <f>SUMIF('cth sp'!$Q$159:$Q$389,B140,'cth sp'!$R$159:$R$389)</f>
        <v>0</v>
      </c>
      <c r="K140" s="11">
        <f>SUMIF('cth sp'!$Q$159:$Q$389,B140,'cth sp'!$S$159:$S$389)</f>
        <v>0</v>
      </c>
      <c r="L140" s="11">
        <f t="shared" si="10"/>
        <v>0</v>
      </c>
      <c r="M140" s="11">
        <f t="shared" si="11"/>
        <v>0</v>
      </c>
      <c r="N140" s="599"/>
    </row>
    <row r="141" spans="1:14" s="406" customFormat="1" x14ac:dyDescent="0.25">
      <c r="A141" s="10">
        <v>51</v>
      </c>
      <c r="B141" s="10" t="s">
        <v>347</v>
      </c>
      <c r="C141" s="10" t="s">
        <v>365</v>
      </c>
      <c r="D141" s="12" t="s">
        <v>365</v>
      </c>
      <c r="E141" s="590">
        <v>210000</v>
      </c>
      <c r="F141" s="11">
        <f>SUMIF('cth sp'!$Q$9:$Q$107,B141,'cth sp'!$R$9:$R$107)</f>
        <v>0</v>
      </c>
      <c r="G141" s="11">
        <f>SUMIF('cth sp'!$Q$9:$Q$107,B141,'cth sp'!$S$9:$S$107)</f>
        <v>0</v>
      </c>
      <c r="H141" s="11">
        <f>SUMIF('cth sp'!$Q$114:$Q$158,B141,'cth sp'!$R$114:$R$158)</f>
        <v>0</v>
      </c>
      <c r="I141" s="11">
        <f>SUMIF('cth sp'!$Q$114:$Q$158,B141,'cth sp'!$S$114:$S$158)</f>
        <v>0</v>
      </c>
      <c r="J141" s="11">
        <f>SUMIF('cth sp'!$Q$159:$Q$389,B141,'cth sp'!$R$159:$R$389)</f>
        <v>0</v>
      </c>
      <c r="K141" s="11">
        <f>SUMIF('cth sp'!$Q$159:$Q$389,B141,'cth sp'!$S$159:$S$389)</f>
        <v>0</v>
      </c>
      <c r="L141" s="11">
        <f t="shared" si="10"/>
        <v>0</v>
      </c>
      <c r="M141" s="11">
        <f t="shared" si="11"/>
        <v>0</v>
      </c>
      <c r="N141" s="11">
        <f t="shared" si="12"/>
        <v>210000</v>
      </c>
    </row>
    <row r="142" spans="1:14" s="406" customFormat="1" x14ac:dyDescent="0.25">
      <c r="A142" s="10">
        <v>52</v>
      </c>
      <c r="B142" s="10" t="s">
        <v>348</v>
      </c>
      <c r="C142" s="10" t="s">
        <v>366</v>
      </c>
      <c r="D142" s="12" t="s">
        <v>366</v>
      </c>
      <c r="E142" s="590">
        <v>210000</v>
      </c>
      <c r="F142" s="11">
        <f>SUMIF('cth sp'!$Q$9:$Q$107,B142,'cth sp'!$R$9:$R$107)</f>
        <v>0</v>
      </c>
      <c r="G142" s="11">
        <f>SUMIF('cth sp'!$Q$9:$Q$107,B142,'cth sp'!$S$9:$S$107)</f>
        <v>0</v>
      </c>
      <c r="H142" s="11">
        <f>SUMIF('cth sp'!$Q$114:$Q$158,B142,'cth sp'!$R$114:$R$158)</f>
        <v>0</v>
      </c>
      <c r="I142" s="11">
        <f>SUMIF('cth sp'!$Q$114:$Q$158,B142,'cth sp'!$S$114:$S$158)</f>
        <v>0</v>
      </c>
      <c r="J142" s="11">
        <f>SUMIF('cth sp'!$Q$159:$Q$389,B142,'cth sp'!$R$159:$R$389)</f>
        <v>0</v>
      </c>
      <c r="K142" s="11">
        <f>SUMIF('cth sp'!$Q$159:$Q$389,B142,'cth sp'!$S$159:$S$389)</f>
        <v>0</v>
      </c>
      <c r="L142" s="11">
        <f t="shared" si="10"/>
        <v>0</v>
      </c>
      <c r="M142" s="11">
        <f t="shared" si="11"/>
        <v>0</v>
      </c>
      <c r="N142" s="11">
        <f t="shared" si="12"/>
        <v>210000</v>
      </c>
    </row>
    <row r="143" spans="1:14" s="406" customFormat="1" x14ac:dyDescent="0.25">
      <c r="A143" s="10">
        <v>53</v>
      </c>
      <c r="B143" s="10" t="s">
        <v>349</v>
      </c>
      <c r="C143" s="10" t="s">
        <v>367</v>
      </c>
      <c r="D143" s="12" t="s">
        <v>367</v>
      </c>
      <c r="E143" s="590">
        <v>210000</v>
      </c>
      <c r="F143" s="11">
        <f>SUMIF('cth sp'!$Q$9:$Q$107,B143,'cth sp'!$R$9:$R$107)</f>
        <v>0</v>
      </c>
      <c r="G143" s="11">
        <f>SUMIF('cth sp'!$Q$9:$Q$107,B143,'cth sp'!$S$9:$S$107)</f>
        <v>0</v>
      </c>
      <c r="H143" s="11">
        <f>SUMIF('cth sp'!$Q$114:$Q$158,B143,'cth sp'!$R$114:$R$158)</f>
        <v>0</v>
      </c>
      <c r="I143" s="11">
        <f>SUMIF('cth sp'!$Q$114:$Q$158,B143,'cth sp'!$S$114:$S$158)</f>
        <v>0</v>
      </c>
      <c r="J143" s="11">
        <f>SUMIF('cth sp'!$Q$159:$Q$389,B143,'cth sp'!$R$159:$R$389)</f>
        <v>0</v>
      </c>
      <c r="K143" s="11">
        <f>SUMIF('cth sp'!$Q$159:$Q$389,B143,'cth sp'!$S$159:$S$389)</f>
        <v>0</v>
      </c>
      <c r="L143" s="11">
        <f t="shared" si="10"/>
        <v>0</v>
      </c>
      <c r="M143" s="11">
        <f t="shared" si="11"/>
        <v>0</v>
      </c>
      <c r="N143" s="11">
        <f t="shared" si="12"/>
        <v>210000</v>
      </c>
    </row>
    <row r="144" spans="1:14" s="406" customFormat="1" x14ac:dyDescent="0.25">
      <c r="A144" s="10">
        <v>54</v>
      </c>
      <c r="B144" s="10" t="s">
        <v>350</v>
      </c>
      <c r="C144" s="10" t="s">
        <v>368</v>
      </c>
      <c r="D144" s="12" t="s">
        <v>368</v>
      </c>
      <c r="E144" s="590">
        <v>180000</v>
      </c>
      <c r="F144" s="11">
        <f>SUMIF('cth sp'!$Q$9:$Q$107,B144,'cth sp'!$R$9:$R$107)</f>
        <v>0</v>
      </c>
      <c r="G144" s="11">
        <f>SUMIF('cth sp'!$Q$9:$Q$107,B144,'cth sp'!$S$9:$S$107)</f>
        <v>0</v>
      </c>
      <c r="H144" s="11">
        <f>SUMIF('cth sp'!$Q$114:$Q$158,B144,'cth sp'!$R$114:$R$158)</f>
        <v>0</v>
      </c>
      <c r="I144" s="11">
        <f>SUMIF('cth sp'!$Q$114:$Q$158,B144,'cth sp'!$S$114:$S$158)</f>
        <v>0</v>
      </c>
      <c r="J144" s="11">
        <f>SUMIF('cth sp'!$Q$159:$Q$389,B144,'cth sp'!$R$159:$R$389)</f>
        <v>0</v>
      </c>
      <c r="K144" s="11">
        <f>SUMIF('cth sp'!$Q$159:$Q$389,B144,'cth sp'!$S$159:$S$389)</f>
        <v>0</v>
      </c>
      <c r="L144" s="11">
        <f>F144+H144+J144</f>
        <v>0</v>
      </c>
      <c r="M144" s="11"/>
      <c r="N144" s="11">
        <f>L144+E144-M144</f>
        <v>180000</v>
      </c>
    </row>
    <row r="145" spans="1:14" s="406" customFormat="1" x14ac:dyDescent="0.25">
      <c r="A145" s="10">
        <v>55</v>
      </c>
      <c r="B145" s="10" t="s">
        <v>351</v>
      </c>
      <c r="C145" s="10" t="s">
        <v>378</v>
      </c>
      <c r="D145" s="12" t="s">
        <v>378</v>
      </c>
      <c r="E145" s="590">
        <v>240000</v>
      </c>
      <c r="F145" s="11">
        <f>SUMIF('cth sp'!$Q$9:$Q$107,B145,'cth sp'!$R$9:$R$107)</f>
        <v>0</v>
      </c>
      <c r="G145" s="11">
        <f>SUMIF('cth sp'!$Q$9:$Q$107,B145,'cth sp'!$S$9:$S$107)</f>
        <v>0</v>
      </c>
      <c r="H145" s="11">
        <f>SUMIF('cth sp'!$Q$114:$Q$158,B145,'cth sp'!$R$114:$R$158)</f>
        <v>0</v>
      </c>
      <c r="I145" s="11">
        <f>SUMIF('cth sp'!$Q$114:$Q$158,B145,'cth sp'!$S$114:$S$158)</f>
        <v>0</v>
      </c>
      <c r="J145" s="11">
        <f>SUMIF('cth sp'!$Q$159:$Q$389,B145,'cth sp'!$R$159:$R$389)</f>
        <v>0</v>
      </c>
      <c r="K145" s="11">
        <f>SUMIF('cth sp'!$Q$159:$Q$389,B145,'cth sp'!$S$159:$S$389)</f>
        <v>0</v>
      </c>
      <c r="L145" s="11">
        <f t="shared" ref="L145:L162" si="13">F145+H145+J145</f>
        <v>0</v>
      </c>
      <c r="M145" s="11"/>
      <c r="N145" s="11">
        <f t="shared" si="12"/>
        <v>240000</v>
      </c>
    </row>
    <row r="146" spans="1:14" s="406" customFormat="1" x14ac:dyDescent="0.25">
      <c r="A146" s="10">
        <v>56</v>
      </c>
      <c r="B146" s="10" t="s">
        <v>388</v>
      </c>
      <c r="C146" s="630" t="s">
        <v>669</v>
      </c>
      <c r="D146" s="630" t="s">
        <v>669</v>
      </c>
      <c r="E146" s="590">
        <v>210000</v>
      </c>
      <c r="F146" s="11">
        <f>SUMIF('cth sp'!$Q$9:$Q$107,B146,'cth sp'!$R$9:$R$107)</f>
        <v>30000</v>
      </c>
      <c r="G146" s="11">
        <f>SUMIF('cth sp'!$Q$9:$Q$107,B146,'cth sp'!$S$9:$S$107)</f>
        <v>0</v>
      </c>
      <c r="H146" s="11">
        <f>SUMIF('cth sp'!$Q$114:$Q$158,B146,'cth sp'!$R$114:$R$158)</f>
        <v>30000</v>
      </c>
      <c r="I146" s="11">
        <f>SUMIF('cth sp'!$Q$114:$Q$158,B146,'cth sp'!$S$114:$S$158)</f>
        <v>0</v>
      </c>
      <c r="J146" s="11">
        <f>SUMIF('cth sp'!$Q$159:$Q$389,B146,'cth sp'!$R$159:$R$389)</f>
        <v>0</v>
      </c>
      <c r="K146" s="11">
        <f>SUMIF('cth sp'!$Q$159:$Q$389,B146,'cth sp'!$S$159:$S$389)</f>
        <v>0</v>
      </c>
      <c r="L146" s="11">
        <f t="shared" si="13"/>
        <v>60000</v>
      </c>
      <c r="M146" s="11"/>
      <c r="N146" s="11">
        <f t="shared" si="12"/>
        <v>270000</v>
      </c>
    </row>
    <row r="147" spans="1:14" s="406" customFormat="1" x14ac:dyDescent="0.25">
      <c r="A147" s="10">
        <v>57</v>
      </c>
      <c r="B147" s="10" t="s">
        <v>389</v>
      </c>
      <c r="C147" s="630" t="s">
        <v>379</v>
      </c>
      <c r="D147" s="630" t="s">
        <v>379</v>
      </c>
      <c r="E147" s="590">
        <v>210000</v>
      </c>
      <c r="F147" s="11">
        <f>SUMIF('cth sp'!$Q$9:$Q$107,B147,'cth sp'!$R$9:$R$107)</f>
        <v>0</v>
      </c>
      <c r="G147" s="11">
        <f>SUMIF('cth sp'!$Q$9:$Q$107,B147,'cth sp'!$S$9:$S$107)</f>
        <v>0</v>
      </c>
      <c r="H147" s="11">
        <f>SUMIF('cth sp'!$Q$114:$Q$158,B147,'cth sp'!$R$114:$R$158)</f>
        <v>0</v>
      </c>
      <c r="I147" s="11">
        <f>SUMIF('cth sp'!$Q$114:$Q$158,B147,'cth sp'!$S$114:$S$158)</f>
        <v>0</v>
      </c>
      <c r="J147" s="11">
        <f>SUMIF('cth sp'!$Q$159:$Q$389,B147,'cth sp'!$R$159:$R$389)</f>
        <v>0</v>
      </c>
      <c r="K147" s="11">
        <f>SUMIF('cth sp'!$Q$159:$Q$389,B147,'cth sp'!$S$159:$S$389)</f>
        <v>0</v>
      </c>
      <c r="L147" s="11">
        <f t="shared" si="13"/>
        <v>0</v>
      </c>
      <c r="M147" s="11"/>
      <c r="N147" s="11">
        <f t="shared" si="12"/>
        <v>210000</v>
      </c>
    </row>
    <row r="148" spans="1:14" s="406" customFormat="1" x14ac:dyDescent="0.25">
      <c r="A148" s="10">
        <v>58</v>
      </c>
      <c r="B148" s="10" t="s">
        <v>390</v>
      </c>
      <c r="C148" s="10" t="s">
        <v>381</v>
      </c>
      <c r="D148" s="12" t="s">
        <v>381</v>
      </c>
      <c r="E148" s="590">
        <v>120000</v>
      </c>
      <c r="F148" s="11">
        <f>SUMIF('cth sp'!$Q$9:$Q$107,B148,'cth sp'!$R$9:$R$107)</f>
        <v>30000</v>
      </c>
      <c r="G148" s="11">
        <f>SUMIF('cth sp'!$Q$9:$Q$107,B148,'cth sp'!$S$9:$S$107)</f>
        <v>0</v>
      </c>
      <c r="H148" s="11">
        <f>SUMIF('cth sp'!$Q$114:$Q$158,B148,'cth sp'!$R$114:$R$158)</f>
        <v>0</v>
      </c>
      <c r="I148" s="11">
        <f>SUMIF('cth sp'!$Q$114:$Q$158,B148,'cth sp'!$S$114:$S$158)</f>
        <v>0</v>
      </c>
      <c r="J148" s="11">
        <f>SUMIF('cth sp'!$Q$159:$Q$389,B148,'cth sp'!$R$159:$R$389)</f>
        <v>0</v>
      </c>
      <c r="K148" s="11">
        <f>SUMIF('cth sp'!$Q$159:$Q$389,B148,'cth sp'!$S$159:$S$389)</f>
        <v>0</v>
      </c>
      <c r="L148" s="11">
        <f t="shared" si="13"/>
        <v>30000</v>
      </c>
      <c r="M148" s="11"/>
      <c r="N148" s="11">
        <f t="shared" si="12"/>
        <v>150000</v>
      </c>
    </row>
    <row r="149" spans="1:14" s="406" customFormat="1" x14ac:dyDescent="0.25">
      <c r="A149" s="10">
        <v>59</v>
      </c>
      <c r="B149" s="10" t="s">
        <v>391</v>
      </c>
      <c r="C149" s="10" t="s">
        <v>382</v>
      </c>
      <c r="D149" s="12" t="s">
        <v>382</v>
      </c>
      <c r="E149" s="590">
        <v>120000</v>
      </c>
      <c r="F149" s="11">
        <f>SUMIF('cth sp'!$Q$9:$Q$107,B149,'cth sp'!$R$9:$R$107)</f>
        <v>0</v>
      </c>
      <c r="G149" s="11">
        <f>SUMIF('cth sp'!$Q$9:$Q$107,B149,'cth sp'!$S$9:$S$107)</f>
        <v>0</v>
      </c>
      <c r="H149" s="11">
        <f>SUMIF('cth sp'!$Q$114:$Q$158,B149,'cth sp'!$R$114:$R$158)</f>
        <v>0</v>
      </c>
      <c r="I149" s="11">
        <f>SUMIF('cth sp'!$Q$114:$Q$158,B149,'cth sp'!$S$114:$S$158)</f>
        <v>0</v>
      </c>
      <c r="J149" s="11">
        <f>SUMIF('cth sp'!$Q$159:$Q$389,B149,'cth sp'!$R$159:$R$389)</f>
        <v>0</v>
      </c>
      <c r="K149" s="11">
        <f>SUMIF('cth sp'!$Q$159:$Q$389,B149,'cth sp'!$S$159:$S$389)</f>
        <v>0</v>
      </c>
      <c r="L149" s="11">
        <f t="shared" si="13"/>
        <v>0</v>
      </c>
      <c r="M149" s="11"/>
      <c r="N149" s="11">
        <f t="shared" si="12"/>
        <v>120000</v>
      </c>
    </row>
    <row r="150" spans="1:14" s="406" customFormat="1" x14ac:dyDescent="0.25">
      <c r="A150" s="10">
        <v>60</v>
      </c>
      <c r="B150" s="10" t="s">
        <v>392</v>
      </c>
      <c r="C150" s="10" t="s">
        <v>383</v>
      </c>
      <c r="D150" s="12" t="s">
        <v>668</v>
      </c>
      <c r="E150" s="590">
        <v>180000</v>
      </c>
      <c r="F150" s="11">
        <f>SUMIF('cth sp'!$Q$9:$Q$107,B150,'cth sp'!$R$9:$R$107)</f>
        <v>30000</v>
      </c>
      <c r="G150" s="11">
        <f>SUMIF('cth sp'!$Q$9:$Q$107,B150,'cth sp'!$S$9:$S$107)</f>
        <v>0</v>
      </c>
      <c r="H150" s="11">
        <f>SUMIF('cth sp'!$Q$114:$Q$158,B150,'cth sp'!$R$114:$R$158)</f>
        <v>60000</v>
      </c>
      <c r="I150" s="11">
        <f>SUMIF('cth sp'!$Q$114:$Q$158,B150,'cth sp'!$S$114:$S$158)</f>
        <v>0</v>
      </c>
      <c r="J150" s="11">
        <f>SUMIF('cth sp'!$Q$159:$Q$389,B150,'cth sp'!$R$159:$R$389)</f>
        <v>0</v>
      </c>
      <c r="K150" s="11">
        <f>SUMIF('cth sp'!$Q$159:$Q$389,B150,'cth sp'!$S$159:$S$389)</f>
        <v>0</v>
      </c>
      <c r="L150" s="11">
        <f t="shared" si="13"/>
        <v>90000</v>
      </c>
      <c r="M150" s="11"/>
      <c r="N150" s="11">
        <f t="shared" si="12"/>
        <v>270000</v>
      </c>
    </row>
    <row r="151" spans="1:14" s="406" customFormat="1" x14ac:dyDescent="0.25">
      <c r="A151" s="10">
        <v>61</v>
      </c>
      <c r="B151" s="12" t="s">
        <v>393</v>
      </c>
      <c r="C151" s="10" t="s">
        <v>384</v>
      </c>
      <c r="D151" s="12" t="s">
        <v>384</v>
      </c>
      <c r="E151" s="590">
        <v>150000</v>
      </c>
      <c r="F151" s="11">
        <f>SUMIF('cth sp'!$Q$9:$Q$107,B151,'cth sp'!$R$9:$R$107)</f>
        <v>0</v>
      </c>
      <c r="G151" s="11">
        <f>SUMIF('cth sp'!$Q$9:$Q$107,B151,'cth sp'!$S$9:$S$107)</f>
        <v>0</v>
      </c>
      <c r="H151" s="11">
        <f>SUMIF('cth sp'!$Q$114:$Q$158,B151,'cth sp'!$R$114:$R$158)</f>
        <v>0</v>
      </c>
      <c r="I151" s="11">
        <f>SUMIF('cth sp'!$Q$114:$Q$158,B151,'cth sp'!$S$114:$S$158)</f>
        <v>0</v>
      </c>
      <c r="J151" s="11">
        <f>SUMIF('cth sp'!$Q$159:$Q$389,B151,'cth sp'!$R$159:$R$389)</f>
        <v>0</v>
      </c>
      <c r="K151" s="11">
        <f>SUMIF('cth sp'!$Q$159:$Q$389,B151,'cth sp'!$S$159:$S$389)</f>
        <v>0</v>
      </c>
      <c r="L151" s="11">
        <f t="shared" si="13"/>
        <v>0</v>
      </c>
      <c r="M151" s="11"/>
      <c r="N151" s="11">
        <f t="shared" si="12"/>
        <v>150000</v>
      </c>
    </row>
    <row r="152" spans="1:14" s="406" customFormat="1" x14ac:dyDescent="0.25">
      <c r="A152" s="10">
        <v>62</v>
      </c>
      <c r="B152" s="10" t="s">
        <v>394</v>
      </c>
      <c r="C152" s="10" t="s">
        <v>385</v>
      </c>
      <c r="D152" s="12" t="s">
        <v>667</v>
      </c>
      <c r="E152" s="590">
        <v>210000</v>
      </c>
      <c r="F152" s="11">
        <f>SUMIF('cth sp'!$Q$9:$Q$107,B152,'cth sp'!$R$9:$R$107)</f>
        <v>30000</v>
      </c>
      <c r="G152" s="11">
        <f>SUMIF('cth sp'!$Q$9:$Q$107,B152,'cth sp'!$S$9:$S$107)</f>
        <v>0</v>
      </c>
      <c r="H152" s="11">
        <f>SUMIF('cth sp'!$Q$114:$Q$158,B152,'cth sp'!$R$114:$R$158)</f>
        <v>30000</v>
      </c>
      <c r="I152" s="11">
        <f>SUMIF('cth sp'!$Q$114:$Q$158,B152,'cth sp'!$S$114:$S$158)</f>
        <v>0</v>
      </c>
      <c r="J152" s="11">
        <f>SUMIF('cth sp'!$Q$159:$Q$389,B152,'cth sp'!$R$159:$R$389)</f>
        <v>0</v>
      </c>
      <c r="K152" s="11">
        <f>SUMIF('cth sp'!$Q$159:$Q$389,B152,'cth sp'!$S$159:$S$389)</f>
        <v>0</v>
      </c>
      <c r="L152" s="11">
        <f t="shared" si="13"/>
        <v>60000</v>
      </c>
      <c r="M152" s="11"/>
      <c r="N152" s="11">
        <f t="shared" si="12"/>
        <v>270000</v>
      </c>
    </row>
    <row r="153" spans="1:14" s="406" customFormat="1" x14ac:dyDescent="0.25">
      <c r="A153" s="10">
        <v>63</v>
      </c>
      <c r="B153" s="10" t="s">
        <v>395</v>
      </c>
      <c r="C153" s="10" t="s">
        <v>386</v>
      </c>
      <c r="D153" s="12" t="s">
        <v>386</v>
      </c>
      <c r="E153" s="590">
        <v>120000</v>
      </c>
      <c r="F153" s="11">
        <f>SUMIF('cth sp'!$Q$9:$Q$107,B153,'cth sp'!$R$9:$R$107)</f>
        <v>0</v>
      </c>
      <c r="G153" s="11">
        <f>SUMIF('cth sp'!$Q$9:$Q$107,B153,'cth sp'!$S$9:$S$107)</f>
        <v>0</v>
      </c>
      <c r="H153" s="11">
        <f>SUMIF('cth sp'!$Q$114:$Q$158,B153,'cth sp'!$R$114:$R$158)</f>
        <v>0</v>
      </c>
      <c r="I153" s="11">
        <f>SUMIF('cth sp'!$Q$114:$Q$158,B153,'cth sp'!$S$114:$S$158)</f>
        <v>0</v>
      </c>
      <c r="J153" s="11">
        <f>SUMIF('cth sp'!$Q$159:$Q$389,B153,'cth sp'!$R$159:$R$389)</f>
        <v>0</v>
      </c>
      <c r="K153" s="11">
        <f>SUMIF('cth sp'!$Q$159:$Q$389,B153,'cth sp'!$S$159:$S$389)</f>
        <v>0</v>
      </c>
      <c r="L153" s="11">
        <f t="shared" si="13"/>
        <v>0</v>
      </c>
      <c r="M153" s="11"/>
      <c r="N153" s="11">
        <f t="shared" si="12"/>
        <v>120000</v>
      </c>
    </row>
    <row r="154" spans="1:14" s="406" customFormat="1" x14ac:dyDescent="0.25">
      <c r="A154" s="10">
        <v>64</v>
      </c>
      <c r="B154" s="10" t="s">
        <v>396</v>
      </c>
      <c r="C154" s="10" t="s">
        <v>387</v>
      </c>
      <c r="D154" s="12" t="s">
        <v>387</v>
      </c>
      <c r="E154" s="590">
        <v>120000</v>
      </c>
      <c r="F154" s="11">
        <f>SUMIF('cth sp'!$Q$9:$Q$107,B154,'cth sp'!$R$9:$R$107)</f>
        <v>0</v>
      </c>
      <c r="G154" s="11">
        <f>SUMIF('cth sp'!$Q$9:$Q$107,B154,'cth sp'!$S$9:$S$107)</f>
        <v>0</v>
      </c>
      <c r="H154" s="11">
        <f>SUMIF('cth sp'!$Q$114:$Q$158,B154,'cth sp'!$R$114:$R$158)</f>
        <v>0</v>
      </c>
      <c r="I154" s="11">
        <f>SUMIF('cth sp'!$Q$114:$Q$158,B154,'cth sp'!$S$114:$S$158)</f>
        <v>0</v>
      </c>
      <c r="J154" s="11">
        <f>SUMIF('cth sp'!$Q$159:$Q$389,B154,'cth sp'!$R$159:$R$389)</f>
        <v>0</v>
      </c>
      <c r="K154" s="11">
        <f>SUMIF('cth sp'!$Q$159:$Q$389,B154,'cth sp'!$S$159:$S$389)</f>
        <v>0</v>
      </c>
      <c r="L154" s="11">
        <f t="shared" si="13"/>
        <v>0</v>
      </c>
      <c r="M154" s="11"/>
      <c r="N154" s="11">
        <f t="shared" si="12"/>
        <v>120000</v>
      </c>
    </row>
    <row r="155" spans="1:14" x14ac:dyDescent="0.25">
      <c r="A155" s="98">
        <v>65</v>
      </c>
      <c r="B155" s="10" t="s">
        <v>397</v>
      </c>
      <c r="C155" s="10" t="s">
        <v>739</v>
      </c>
      <c r="D155" s="12" t="s">
        <v>687</v>
      </c>
      <c r="E155" s="425">
        <v>60000</v>
      </c>
      <c r="F155" s="11">
        <f>SUMIF('cth sp'!$Q$9:$Q$107,B155,'cth sp'!$R$9:$R$107)</f>
        <v>30000</v>
      </c>
      <c r="G155" s="11">
        <f>SUMIF('cth sp'!$Q$9:$Q$107,B155,'cth sp'!$S$9:$S$107)</f>
        <v>0</v>
      </c>
      <c r="H155" s="11">
        <f>SUMIF('cth sp'!$Q$114:$Q$158,B155,'cth sp'!$R$114:$R$158)</f>
        <v>0</v>
      </c>
      <c r="I155" s="11">
        <f>SUMIF('cth sp'!$Q$114:$Q$158,B155,'cth sp'!$S$114:$S$158)</f>
        <v>0</v>
      </c>
      <c r="J155" s="11">
        <f>SUMIF('cth sp'!$Q$159:$Q$389,B155,'cth sp'!$R$159:$R$389)</f>
        <v>0</v>
      </c>
      <c r="K155" s="11">
        <f>SUMIF('cth sp'!$Q$159:$Q$389,B155,'cth sp'!$S$159:$S$389)</f>
        <v>0</v>
      </c>
      <c r="L155" s="11">
        <f t="shared" si="13"/>
        <v>30000</v>
      </c>
      <c r="M155" s="11"/>
      <c r="N155" s="11">
        <f t="shared" si="12"/>
        <v>90000</v>
      </c>
    </row>
    <row r="156" spans="1:14" x14ac:dyDescent="0.25">
      <c r="A156" s="98">
        <v>66</v>
      </c>
      <c r="B156" s="10" t="s">
        <v>398</v>
      </c>
      <c r="C156" s="10"/>
      <c r="D156" s="10"/>
      <c r="E156" s="425">
        <v>0</v>
      </c>
      <c r="F156" s="11">
        <f>SUMIF('cth sp'!$Q$9:$Q$107,B156,'cth sp'!$R$9:$R$107)</f>
        <v>0</v>
      </c>
      <c r="G156" s="11">
        <f>SUMIF('cth sp'!$Q$9:$Q$107,B156,'cth sp'!$S$9:$S$107)</f>
        <v>0</v>
      </c>
      <c r="H156" s="11">
        <f>SUMIF('cth sp'!$Q$114:$Q$158,B156,'cth sp'!$R$114:$R$158)</f>
        <v>0</v>
      </c>
      <c r="I156" s="11">
        <f>SUMIF('cth sp'!$Q$114:$Q$158,B156,'cth sp'!$S$114:$S$158)</f>
        <v>0</v>
      </c>
      <c r="J156" s="11">
        <f>SUMIF('cth sp'!$Q$159:$Q$389,B156,'cth sp'!$R$159:$R$389)</f>
        <v>0</v>
      </c>
      <c r="K156" s="11">
        <f>SUMIF('cth sp'!$Q$159:$Q$389,B156,'cth sp'!$S$159:$S$389)</f>
        <v>0</v>
      </c>
      <c r="L156" s="11">
        <f t="shared" si="13"/>
        <v>0</v>
      </c>
      <c r="M156" s="11"/>
      <c r="N156" s="11">
        <f t="shared" ref="N156:N162" si="14">L156+E156-M156</f>
        <v>0</v>
      </c>
    </row>
    <row r="157" spans="1:14" x14ac:dyDescent="0.25">
      <c r="A157" s="98">
        <v>67</v>
      </c>
      <c r="B157" s="10" t="s">
        <v>399</v>
      </c>
      <c r="C157" s="10"/>
      <c r="D157" s="10"/>
      <c r="E157" s="425">
        <v>0</v>
      </c>
      <c r="F157" s="11">
        <f>SUMIF('cth sp'!$Q$9:$Q$107,B157,'cth sp'!$R$9:$R$107)</f>
        <v>0</v>
      </c>
      <c r="G157" s="11">
        <f>SUMIF('cth sp'!$Q$9:$Q$107,B157,'cth sp'!$S$9:$S$107)</f>
        <v>0</v>
      </c>
      <c r="H157" s="11">
        <f>SUMIF('cth sp'!$Q$114:$Q$158,B157,'cth sp'!$R$114:$R$158)</f>
        <v>0</v>
      </c>
      <c r="I157" s="11">
        <f>SUMIF('cth sp'!$Q$114:$Q$158,B157,'cth sp'!$S$114:$S$158)</f>
        <v>0</v>
      </c>
      <c r="J157" s="11">
        <f>SUMIF('cth sp'!$Q$159:$Q$389,B157,'cth sp'!$R$159:$R$389)</f>
        <v>0</v>
      </c>
      <c r="K157" s="11">
        <f>SUMIF('cth sp'!$Q$159:$Q$389,B157,'cth sp'!$S$159:$S$389)</f>
        <v>0</v>
      </c>
      <c r="L157" s="11">
        <f t="shared" si="13"/>
        <v>0</v>
      </c>
      <c r="M157" s="11"/>
      <c r="N157" s="11">
        <f t="shared" si="14"/>
        <v>0</v>
      </c>
    </row>
    <row r="158" spans="1:14" x14ac:dyDescent="0.25">
      <c r="A158" s="98">
        <v>68</v>
      </c>
      <c r="B158" s="10" t="s">
        <v>400</v>
      </c>
      <c r="C158" s="10"/>
      <c r="D158" s="10"/>
      <c r="E158" s="425">
        <v>0</v>
      </c>
      <c r="F158" s="11">
        <f>SUMIF('cth sp'!$Q$9:$Q$107,B158,'cth sp'!$R$9:$R$107)</f>
        <v>0</v>
      </c>
      <c r="G158" s="11">
        <f>SUMIF('cth sp'!$Q$9:$Q$107,B158,'cth sp'!$S$9:$S$107)</f>
        <v>0</v>
      </c>
      <c r="H158" s="11">
        <f>SUMIF('cth sp'!$Q$114:$Q$158,B158,'cth sp'!$R$114:$R$158)</f>
        <v>0</v>
      </c>
      <c r="I158" s="11">
        <f>SUMIF('cth sp'!$Q$114:$Q$158,B158,'cth sp'!$S$114:$S$158)</f>
        <v>0</v>
      </c>
      <c r="J158" s="11">
        <f>SUMIF('cth sp'!$Q$159:$Q$389,B158,'cth sp'!$R$159:$R$389)</f>
        <v>0</v>
      </c>
      <c r="K158" s="11">
        <f>SUMIF('cth sp'!$Q$159:$Q$389,B158,'cth sp'!$S$159:$S$389)</f>
        <v>0</v>
      </c>
      <c r="L158" s="11">
        <f t="shared" si="13"/>
        <v>0</v>
      </c>
      <c r="M158" s="11"/>
      <c r="N158" s="11">
        <f t="shared" si="14"/>
        <v>0</v>
      </c>
    </row>
    <row r="159" spans="1:14" x14ac:dyDescent="0.25">
      <c r="A159" s="98">
        <v>69</v>
      </c>
      <c r="B159" s="10" t="s">
        <v>401</v>
      </c>
      <c r="C159" s="10"/>
      <c r="D159" s="10"/>
      <c r="E159" s="425">
        <v>0</v>
      </c>
      <c r="F159" s="11">
        <f>SUMIF('cth sp'!$Q$9:$Q$107,B159,'cth sp'!$R$9:$R$107)</f>
        <v>0</v>
      </c>
      <c r="G159" s="11">
        <f>SUMIF('cth sp'!$Q$9:$Q$107,B159,'cth sp'!$S$9:$S$107)</f>
        <v>0</v>
      </c>
      <c r="H159" s="11">
        <f>SUMIF('cth sp'!$Q$114:$Q$158,B159,'cth sp'!$R$114:$R$158)</f>
        <v>0</v>
      </c>
      <c r="I159" s="11">
        <f>SUMIF('cth sp'!$Q$114:$Q$158,B159,'cth sp'!$S$114:$S$158)</f>
        <v>0</v>
      </c>
      <c r="J159" s="11">
        <f>SUMIF('cth sp'!$Q$159:$Q$389,B159,'cth sp'!$R$159:$R$389)</f>
        <v>0</v>
      </c>
      <c r="K159" s="11">
        <f>SUMIF('cth sp'!$Q$159:$Q$389,B159,'cth sp'!$S$159:$S$389)</f>
        <v>0</v>
      </c>
      <c r="L159" s="11">
        <f t="shared" si="13"/>
        <v>0</v>
      </c>
      <c r="M159" s="11"/>
      <c r="N159" s="11">
        <f t="shared" si="14"/>
        <v>0</v>
      </c>
    </row>
    <row r="160" spans="1:14" x14ac:dyDescent="0.25">
      <c r="A160" s="98">
        <v>70</v>
      </c>
      <c r="B160" s="10" t="s">
        <v>402</v>
      </c>
      <c r="C160" s="10"/>
      <c r="D160" s="10"/>
      <c r="E160" s="425">
        <v>0</v>
      </c>
      <c r="F160" s="11">
        <f>SUMIF('cth sp'!$Q$9:$Q$107,B160,'cth sp'!$R$9:$R$107)</f>
        <v>0</v>
      </c>
      <c r="G160" s="11">
        <f>SUMIF('cth sp'!$Q$9:$Q$107,B160,'cth sp'!$S$9:$S$107)</f>
        <v>0</v>
      </c>
      <c r="H160" s="11">
        <f>SUMIF('cth sp'!$Q$114:$Q$158,B160,'cth sp'!$R$114:$R$158)</f>
        <v>0</v>
      </c>
      <c r="I160" s="11">
        <f>SUMIF('cth sp'!$Q$114:$Q$158,B160,'cth sp'!$S$114:$S$158)</f>
        <v>0</v>
      </c>
      <c r="J160" s="11">
        <f>SUMIF('cth sp'!$Q$159:$Q$389,B160,'cth sp'!$R$159:$R$389)</f>
        <v>0</v>
      </c>
      <c r="K160" s="11">
        <f>SUMIF('cth sp'!$Q$159:$Q$389,B160,'cth sp'!$S$159:$S$389)</f>
        <v>0</v>
      </c>
      <c r="L160" s="11">
        <f t="shared" si="13"/>
        <v>0</v>
      </c>
      <c r="M160" s="11"/>
      <c r="N160" s="11">
        <f t="shared" si="14"/>
        <v>0</v>
      </c>
    </row>
    <row r="161" spans="1:14" x14ac:dyDescent="0.25">
      <c r="A161" s="98">
        <v>71</v>
      </c>
      <c r="B161" s="10" t="s">
        <v>403</v>
      </c>
      <c r="C161" s="10"/>
      <c r="D161" s="10"/>
      <c r="E161" s="425">
        <v>0</v>
      </c>
      <c r="F161" s="11">
        <f>SUMIF('cth sp'!$Q$9:$Q$107,B161,'cth sp'!$R$9:$R$107)</f>
        <v>0</v>
      </c>
      <c r="G161" s="11">
        <f>SUMIF('cth sp'!$Q$9:$Q$107,B161,'cth sp'!$S$9:$S$107)</f>
        <v>0</v>
      </c>
      <c r="H161" s="11">
        <f>SUMIF('cth sp'!$Q$114:$Q$158,B161,'cth sp'!$R$114:$R$158)</f>
        <v>0</v>
      </c>
      <c r="I161" s="11">
        <f>SUMIF('cth sp'!$Q$114:$Q$158,B161,'cth sp'!$S$114:$S$158)</f>
        <v>0</v>
      </c>
      <c r="J161" s="11">
        <f>SUMIF('cth sp'!$Q$159:$Q$389,B161,'cth sp'!$R$159:$R$389)</f>
        <v>0</v>
      </c>
      <c r="K161" s="11">
        <f>SUMIF('cth sp'!$Q$159:$Q$389,B161,'cth sp'!$S$159:$S$389)</f>
        <v>0</v>
      </c>
      <c r="L161" s="11">
        <f t="shared" si="13"/>
        <v>0</v>
      </c>
      <c r="M161" s="11"/>
      <c r="N161" s="11">
        <f t="shared" si="14"/>
        <v>0</v>
      </c>
    </row>
    <row r="162" spans="1:14" x14ac:dyDescent="0.25">
      <c r="A162" s="98">
        <v>72</v>
      </c>
      <c r="B162" s="10" t="s">
        <v>404</v>
      </c>
      <c r="C162" s="10"/>
      <c r="D162" s="10"/>
      <c r="E162" s="425">
        <v>0</v>
      </c>
      <c r="F162" s="11">
        <f>SUMIF('cth sp'!$Q$9:$Q$107,B162,'cth sp'!$R$9:$R$107)</f>
        <v>0</v>
      </c>
      <c r="G162" s="11">
        <f>SUMIF('cth sp'!$Q$9:$Q$107,B162,'cth sp'!$S$9:$S$107)</f>
        <v>0</v>
      </c>
      <c r="H162" s="11">
        <f>SUMIF('cth sp'!$Q$114:$Q$158,B162,'cth sp'!$R$114:$R$158)</f>
        <v>0</v>
      </c>
      <c r="I162" s="11">
        <f>SUMIF('cth sp'!$Q$114:$Q$158,B162,'cth sp'!$S$114:$S$158)</f>
        <v>0</v>
      </c>
      <c r="J162" s="11">
        <f>SUMIF('cth sp'!$Q$159:$Q$389,B162,'cth sp'!$R$159:$R$389)</f>
        <v>0</v>
      </c>
      <c r="K162" s="11">
        <f>SUMIF('cth sp'!$Q$159:$Q$389,B162,'cth sp'!$S$159:$S$389)</f>
        <v>0</v>
      </c>
      <c r="L162" s="11">
        <f t="shared" si="13"/>
        <v>0</v>
      </c>
      <c r="M162" s="11">
        <f t="shared" si="11"/>
        <v>0</v>
      </c>
      <c r="N162" s="11">
        <f t="shared" si="14"/>
        <v>0</v>
      </c>
    </row>
    <row r="163" spans="1:14" x14ac:dyDescent="0.25">
      <c r="A163" s="98">
        <v>73</v>
      </c>
      <c r="B163" s="10"/>
      <c r="C163" s="10"/>
      <c r="D163" s="10"/>
      <c r="E163" s="425">
        <v>0</v>
      </c>
      <c r="F163" s="11">
        <f>SUMIF('cth sp'!$Q$9:$Q$107,B163,'cth sp'!$R$9:$R$107)</f>
        <v>0</v>
      </c>
      <c r="G163" s="11">
        <f>SUMIF('cth sp'!$Q$9:$Q$107,B163,'cth sp'!$S$9:$S$107)</f>
        <v>0</v>
      </c>
      <c r="H163" s="11">
        <f>SUMIF('cth sp'!$Q$114:$Q$158,B163,'cth sp'!$R$114:$R$158)</f>
        <v>0</v>
      </c>
      <c r="I163" s="11">
        <f>SUMIF('cth sp'!$Q$114:$Q$158,B163,'cth sp'!$S$114:$S$158)</f>
        <v>0</v>
      </c>
      <c r="J163" s="11">
        <f>SUMIF('cth sp'!$Q$159:$Q$389,B163,'cth sp'!$R$159:$R$389)</f>
        <v>0</v>
      </c>
      <c r="K163" s="11">
        <f>SUMIF('cth sp'!$Q$159:$Q$389,B163,'cth sp'!$S$159:$S$389)</f>
        <v>0</v>
      </c>
      <c r="L163" s="11">
        <f t="shared" si="10"/>
        <v>0</v>
      </c>
      <c r="M163" s="11">
        <f t="shared" si="11"/>
        <v>0</v>
      </c>
      <c r="N163" s="11">
        <f t="shared" ref="N163:N168" si="15">L163-M163</f>
        <v>0</v>
      </c>
    </row>
    <row r="164" spans="1:14" hidden="1" x14ac:dyDescent="0.25">
      <c r="A164" s="98"/>
      <c r="B164" s="98"/>
      <c r="C164" s="98"/>
      <c r="D164" s="98"/>
      <c r="E164" s="425"/>
      <c r="F164" s="5">
        <f>SUMIF('cth sp'!$Q$9:$Q$107,B164,'cth sp'!$R$9:$R$107)</f>
        <v>0</v>
      </c>
      <c r="G164" s="5">
        <f>SUMIF('cth sp'!$Q$9:$Q$107,B164,'cth sp'!$S$9:$S$107)</f>
        <v>0</v>
      </c>
      <c r="H164" s="5">
        <f>SUMIF('cth sp'!$Q$114:$Q$158,B164,'cth sp'!$R$114:$R$158)</f>
        <v>0</v>
      </c>
      <c r="I164" s="5">
        <f>SUMIF('cth sp'!$Q$114:$Q$158,B164,'cth sp'!$S$114:$S$158)</f>
        <v>0</v>
      </c>
      <c r="J164" s="5">
        <f>SUMIF('cth sp'!$Q$159:$Q$389,B164,'cth sp'!$R$159:$R$389)</f>
        <v>0</v>
      </c>
      <c r="K164" s="5">
        <f>SUMIF('cth sp'!$Q$159:$Q$389,B164,'cth sp'!$S$159:$S$389)</f>
        <v>0</v>
      </c>
      <c r="L164" s="5">
        <f t="shared" si="10"/>
        <v>0</v>
      </c>
      <c r="M164" s="5">
        <f t="shared" si="11"/>
        <v>0</v>
      </c>
      <c r="N164" s="5">
        <f t="shared" si="15"/>
        <v>0</v>
      </c>
    </row>
    <row r="165" spans="1:14" hidden="1" x14ac:dyDescent="0.25">
      <c r="A165" s="98"/>
      <c r="B165" s="98"/>
      <c r="C165" s="98"/>
      <c r="D165" s="98"/>
      <c r="E165" s="425"/>
      <c r="F165" s="5">
        <f>SUMIF('cth sp'!$Q$9:$Q$107,B165,'cth sp'!$R$9:$R$107)</f>
        <v>0</v>
      </c>
      <c r="G165" s="5">
        <f>SUMIF('cth sp'!$Q$9:$Q$107,B165,'cth sp'!$S$9:$S$107)</f>
        <v>0</v>
      </c>
      <c r="H165" s="5">
        <f>SUMIF('cth sp'!$Q$114:$Q$158,B165,'cth sp'!$R$114:$R$158)</f>
        <v>0</v>
      </c>
      <c r="I165" s="5">
        <f>SUMIF('cth sp'!$Q$114:$Q$158,B165,'cth sp'!$S$114:$S$158)</f>
        <v>0</v>
      </c>
      <c r="J165" s="5">
        <f>SUMIF('cth sp'!$Q$159:$Q$389,B165,'cth sp'!$R$159:$R$389)</f>
        <v>0</v>
      </c>
      <c r="K165" s="5">
        <f>SUMIF('cth sp'!$Q$159:$Q$389,B165,'cth sp'!$S$159:$S$389)</f>
        <v>0</v>
      </c>
      <c r="L165" s="5">
        <f t="shared" si="10"/>
        <v>0</v>
      </c>
      <c r="M165" s="5">
        <f t="shared" si="11"/>
        <v>0</v>
      </c>
      <c r="N165" s="5">
        <f t="shared" si="15"/>
        <v>0</v>
      </c>
    </row>
    <row r="166" spans="1:14" hidden="1" x14ac:dyDescent="0.25">
      <c r="A166" s="98"/>
      <c r="B166" s="98"/>
      <c r="C166" s="98"/>
      <c r="D166" s="98"/>
      <c r="E166" s="425"/>
      <c r="F166" s="5">
        <f>SUMIF('cth sp'!$Q$9:$Q$107,B166,'cth sp'!$R$9:$R$107)</f>
        <v>0</v>
      </c>
      <c r="G166" s="5">
        <f>SUMIF('cth sp'!$Q$9:$Q$107,B166,'cth sp'!$S$9:$S$107)</f>
        <v>0</v>
      </c>
      <c r="H166" s="5">
        <f>SUMIF('cth sp'!$Q$114:$Q$158,B166,'cth sp'!$R$114:$R$158)</f>
        <v>0</v>
      </c>
      <c r="I166" s="5">
        <f>SUMIF('cth sp'!$Q$114:$Q$158,B166,'cth sp'!$S$114:$S$158)</f>
        <v>0</v>
      </c>
      <c r="J166" s="5">
        <f>SUMIF('cth sp'!$Q$159:$Q$389,B166,'cth sp'!$R$159:$R$389)</f>
        <v>0</v>
      </c>
      <c r="K166" s="5">
        <f>SUMIF('cth sp'!$Q$159:$Q$389,B166,'cth sp'!$S$159:$S$389)</f>
        <v>0</v>
      </c>
      <c r="L166" s="5">
        <f t="shared" si="10"/>
        <v>0</v>
      </c>
      <c r="M166" s="5">
        <f t="shared" si="11"/>
        <v>0</v>
      </c>
      <c r="N166" s="5">
        <f t="shared" si="15"/>
        <v>0</v>
      </c>
    </row>
    <row r="167" spans="1:14" hidden="1" x14ac:dyDescent="0.25">
      <c r="A167" s="98"/>
      <c r="B167" s="98"/>
      <c r="C167" s="98"/>
      <c r="D167" s="98"/>
      <c r="E167" s="425"/>
      <c r="F167" s="5">
        <f>SUMIF('cth sp'!$M$9:$M$84,B167,'cth sp'!$N$9:$N$84)</f>
        <v>0</v>
      </c>
      <c r="G167" s="5">
        <f>SUMIF('cth sp'!$M$9:$M$84,B167,'cth sp'!$O$9:$O$84)</f>
        <v>0</v>
      </c>
      <c r="H167" s="5">
        <f>SUMIF('cth sp'!$M$89:$M$107,B167,'cth sp'!$N$89:$N$107)</f>
        <v>0</v>
      </c>
      <c r="I167" s="5">
        <f>SUMIF('cth sp'!$M$89:$M$107,B167,'cth sp'!$O$89:$O$107)</f>
        <v>0</v>
      </c>
      <c r="J167" s="5">
        <f>SUMIF('cth sp'!$Q$159:$Q$389,B167,'cth sp'!$R$159:$R$389)</f>
        <v>0</v>
      </c>
      <c r="K167" s="5">
        <f>SUMIF('cth sp'!$Q$159:$Q$389,B167,'cth sp'!$S$159:$S$389)</f>
        <v>0</v>
      </c>
      <c r="L167" s="5">
        <f t="shared" si="10"/>
        <v>0</v>
      </c>
      <c r="M167" s="5">
        <f t="shared" si="11"/>
        <v>0</v>
      </c>
      <c r="N167" s="5">
        <f t="shared" si="15"/>
        <v>0</v>
      </c>
    </row>
    <row r="168" spans="1:14" hidden="1" x14ac:dyDescent="0.25">
      <c r="A168" s="98"/>
      <c r="B168" s="98"/>
      <c r="C168" s="98"/>
      <c r="D168" s="98"/>
      <c r="E168" s="425"/>
      <c r="F168" s="5">
        <f>SUMIF('cth sp'!$M$9:$M$84,B168,'cth sp'!$N$9:$N$84)</f>
        <v>0</v>
      </c>
      <c r="G168" s="5">
        <f>SUMIF('cth sp'!$M$9:$M$84,B168,'cth sp'!$O$9:$O$84)</f>
        <v>0</v>
      </c>
      <c r="H168" s="5">
        <f>SUMIF('cth sp'!$M$89:$M$107,B168,'cth sp'!$N$89:$N$107)</f>
        <v>0</v>
      </c>
      <c r="I168" s="5">
        <f>SUMIF('cth sp'!$M$89:$M$107,B168,'cth sp'!$O$89:$O$107)</f>
        <v>0</v>
      </c>
      <c r="J168" s="5">
        <f>SUMIF('cth sp'!$Q$159:$Q$389,B168,'cth sp'!$R$159:$R$389)</f>
        <v>0</v>
      </c>
      <c r="K168" s="5">
        <f>SUMIF('cth sp'!$Q$159:$Q$389,B168,'cth sp'!$S$159:$S$389)</f>
        <v>0</v>
      </c>
      <c r="L168" s="5">
        <f t="shared" si="10"/>
        <v>0</v>
      </c>
      <c r="M168" s="5">
        <f t="shared" si="11"/>
        <v>0</v>
      </c>
      <c r="N168" s="5">
        <f t="shared" si="15"/>
        <v>0</v>
      </c>
    </row>
    <row r="169" spans="1:14" s="1" customFormat="1" x14ac:dyDescent="0.25">
      <c r="A169" s="13"/>
      <c r="B169" s="13"/>
      <c r="C169" s="13"/>
      <c r="D169" s="13"/>
      <c r="E169" s="593">
        <f>SUM(E90:E168)</f>
        <v>14520000</v>
      </c>
      <c r="F169" s="13">
        <f>SUM(F90:F168)</f>
        <v>570000</v>
      </c>
      <c r="G169" s="13">
        <f t="shared" ref="G169:N169" si="16">SUM(G90:G168)</f>
        <v>0</v>
      </c>
      <c r="H169" s="13">
        <f t="shared" si="16"/>
        <v>330000</v>
      </c>
      <c r="I169" s="13">
        <f t="shared" si="16"/>
        <v>330000</v>
      </c>
      <c r="J169" s="13">
        <f t="shared" si="16"/>
        <v>0</v>
      </c>
      <c r="K169" s="13">
        <f t="shared" si="16"/>
        <v>0</v>
      </c>
      <c r="L169" s="13">
        <f t="shared" si="16"/>
        <v>900000</v>
      </c>
      <c r="M169" s="13">
        <f t="shared" si="16"/>
        <v>330000</v>
      </c>
      <c r="N169" s="13">
        <f t="shared" si="16"/>
        <v>15090000</v>
      </c>
    </row>
    <row r="170" spans="1:14" x14ac:dyDescent="0.25">
      <c r="A170" s="14"/>
      <c r="B170" s="14"/>
      <c r="C170" s="14"/>
      <c r="D170" s="14"/>
      <c r="E170" s="593"/>
      <c r="F170" s="13"/>
      <c r="G170" s="13"/>
      <c r="H170" s="13">
        <f>H169+H73</f>
        <v>330000</v>
      </c>
      <c r="I170" s="13">
        <f>I169+I73</f>
        <v>380000</v>
      </c>
      <c r="J170" s="14"/>
      <c r="K170" s="14"/>
      <c r="L170" s="13"/>
      <c r="M170" s="13"/>
      <c r="N170" s="13"/>
    </row>
    <row r="171" spans="1:14" x14ac:dyDescent="0.25">
      <c r="I171" s="1">
        <f>I170-'cth sp'!S159</f>
        <v>0</v>
      </c>
    </row>
    <row r="172" spans="1:14" x14ac:dyDescent="0.25">
      <c r="I172" s="1" t="str">
        <f>I76</f>
        <v>Balongbesuk, 15 Januari 2025</v>
      </c>
      <c r="N172" s="1">
        <f>N169+N73</f>
        <v>17840000</v>
      </c>
    </row>
    <row r="173" spans="1:14" x14ac:dyDescent="0.25">
      <c r="C173" t="str">
        <f>C77</f>
        <v>Mengetahui</v>
      </c>
      <c r="I173" s="1" t="str">
        <f>I77</f>
        <v>Dilaporkan Oleh</v>
      </c>
    </row>
    <row r="174" spans="1:14" x14ac:dyDescent="0.25">
      <c r="I174" s="1" t="str">
        <f>I78</f>
        <v>kepala Unit Simpan Pinjam</v>
      </c>
      <c r="K174" s="15" t="str">
        <f>piutang!J89</f>
        <v>Dibuat Oleh;</v>
      </c>
      <c r="L174" s="275"/>
    </row>
    <row r="178" spans="3:11" ht="17.25" x14ac:dyDescent="0.4">
      <c r="C178" s="413" t="str">
        <f>C81</f>
        <v>DODIK SUSANTO, S.Fil.I</v>
      </c>
      <c r="D178" s="413"/>
      <c r="G178" s="16"/>
      <c r="I178" s="25" t="str">
        <f>I82</f>
        <v>ERA PUSPITA SARI</v>
      </c>
      <c r="K178" s="17" t="str">
        <f>piutang!J94</f>
        <v>MAMIK KURNIAWATI</v>
      </c>
    </row>
    <row r="179" spans="3:11" x14ac:dyDescent="0.25">
      <c r="C179" s="268" t="str">
        <f>C82</f>
        <v>Direktur BUMDES</v>
      </c>
      <c r="D179" s="268"/>
      <c r="K179" s="15" t="str">
        <f>piutang!J95</f>
        <v>Bendahara BUMDesa "BAROKAH"</v>
      </c>
    </row>
  </sheetData>
  <autoFilter ref="A6:N73"/>
  <mergeCells count="22">
    <mergeCell ref="N87:N89"/>
    <mergeCell ref="B87:B89"/>
    <mergeCell ref="C87:C89"/>
    <mergeCell ref="L87:L89"/>
    <mergeCell ref="E87:E89"/>
    <mergeCell ref="F88:G88"/>
    <mergeCell ref="N4:N6"/>
    <mergeCell ref="B4:B6"/>
    <mergeCell ref="F5:G5"/>
    <mergeCell ref="L4:L6"/>
    <mergeCell ref="H5:I5"/>
    <mergeCell ref="C4:C6"/>
    <mergeCell ref="A87:A89"/>
    <mergeCell ref="M87:M89"/>
    <mergeCell ref="F87:K87"/>
    <mergeCell ref="H88:I88"/>
    <mergeCell ref="J88:K88"/>
    <mergeCell ref="A4:A6"/>
    <mergeCell ref="M4:M6"/>
    <mergeCell ref="J5:K5"/>
    <mergeCell ref="E4:E6"/>
    <mergeCell ref="F4:K4"/>
  </mergeCells>
  <printOptions horizontalCentered="1"/>
  <pageMargins left="0.7" right="0.7" top="0.75" bottom="0.75" header="0.3" footer="0.3"/>
  <pageSetup scale="72" orientation="landscape" r:id="rId1"/>
  <rowBreaks count="1" manualBreakCount="1">
    <brk id="83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IX48"/>
  <sheetViews>
    <sheetView view="pageBreakPreview" topLeftCell="B34" zoomScale="148" zoomScaleNormal="82" zoomScaleSheetLayoutView="148" workbookViewId="0">
      <selection activeCell="B6" sqref="B6"/>
    </sheetView>
  </sheetViews>
  <sheetFormatPr defaultColWidth="9" defaultRowHeight="15" x14ac:dyDescent="0.25"/>
  <cols>
    <col min="1" max="1" width="2.85546875" style="123" customWidth="1"/>
    <col min="2" max="2" width="8.5703125" style="123" customWidth="1"/>
    <col min="3" max="3" width="32.5703125" style="123" customWidth="1"/>
    <col min="4" max="4" width="22.140625" style="123" hidden="1" customWidth="1"/>
    <col min="5" max="5" width="22.140625" style="123" customWidth="1"/>
    <col min="6" max="6" width="22.140625" style="837" customWidth="1"/>
    <col min="7" max="7" width="1" style="123" customWidth="1"/>
    <col min="8" max="8" width="8.5703125" style="123" customWidth="1"/>
    <col min="9" max="9" width="32.5703125" style="123" customWidth="1"/>
    <col min="10" max="10" width="22.140625" style="123" hidden="1" customWidth="1"/>
    <col min="11" max="11" width="22.140625" style="123" customWidth="1"/>
    <col min="12" max="12" width="22.140625" style="176" customWidth="1"/>
    <col min="13" max="13" width="15.85546875" style="123" customWidth="1"/>
    <col min="14" max="14" width="14.7109375" style="123" bestFit="1" customWidth="1"/>
    <col min="15" max="15" width="9.85546875" style="123" customWidth="1"/>
    <col min="16" max="258" width="9.140625" style="123" customWidth="1"/>
    <col min="259" max="259" width="9" customWidth="1"/>
  </cols>
  <sheetData>
    <row r="1" spans="1:258" ht="19.5" x14ac:dyDescent="0.3">
      <c r="B1" s="915" t="s">
        <v>206</v>
      </c>
      <c r="C1" s="915"/>
      <c r="D1" s="915"/>
      <c r="E1" s="915"/>
      <c r="F1" s="915"/>
      <c r="G1" s="915"/>
      <c r="H1" s="915"/>
      <c r="I1" s="915"/>
      <c r="J1" s="915"/>
      <c r="K1" s="915"/>
      <c r="L1" s="915"/>
      <c r="M1" s="182"/>
      <c r="N1" s="182"/>
      <c r="O1" s="182"/>
    </row>
    <row r="2" spans="1:258" ht="18.75" x14ac:dyDescent="0.3">
      <c r="B2" s="914" t="s">
        <v>207</v>
      </c>
      <c r="C2" s="914"/>
      <c r="D2" s="914"/>
      <c r="E2" s="914"/>
      <c r="F2" s="914"/>
      <c r="G2" s="914"/>
      <c r="H2" s="914"/>
      <c r="I2" s="914"/>
      <c r="J2" s="914"/>
      <c r="K2" s="914"/>
      <c r="L2" s="914"/>
      <c r="M2" s="182"/>
      <c r="N2" s="182"/>
      <c r="O2" s="182"/>
    </row>
    <row r="3" spans="1:258" ht="6" customHeight="1" x14ac:dyDescent="0.3">
      <c r="B3" s="199"/>
      <c r="C3" s="199"/>
      <c r="D3" s="199"/>
      <c r="E3" s="199"/>
      <c r="F3" s="836"/>
      <c r="G3" s="199"/>
      <c r="H3" s="199"/>
      <c r="I3" s="199"/>
      <c r="J3" s="199"/>
      <c r="K3" s="199"/>
      <c r="L3" s="549"/>
      <c r="M3" s="182"/>
      <c r="N3" s="182"/>
      <c r="O3" s="182"/>
    </row>
    <row r="4" spans="1:258" ht="18.75" x14ac:dyDescent="0.3">
      <c r="B4" s="914" t="s">
        <v>134</v>
      </c>
      <c r="C4" s="914"/>
      <c r="D4" s="914"/>
      <c r="E4" s="914"/>
      <c r="F4" s="914"/>
      <c r="G4" s="914"/>
      <c r="H4" s="914"/>
      <c r="I4" s="914"/>
      <c r="J4" s="914"/>
      <c r="K4" s="914"/>
      <c r="L4" s="914"/>
      <c r="M4" s="182"/>
      <c r="N4" s="182"/>
      <c r="O4" s="182"/>
    </row>
    <row r="5" spans="1:258" x14ac:dyDescent="0.25">
      <c r="B5" s="913" t="s">
        <v>746</v>
      </c>
      <c r="C5" s="913"/>
      <c r="D5" s="913"/>
      <c r="E5" s="913"/>
      <c r="F5" s="913"/>
      <c r="G5" s="913"/>
      <c r="H5" s="913"/>
      <c r="I5" s="913"/>
      <c r="J5" s="913"/>
      <c r="K5" s="913"/>
      <c r="L5" s="913"/>
      <c r="M5" s="183"/>
      <c r="N5" s="183"/>
      <c r="O5" s="183"/>
    </row>
    <row r="7" spans="1:258" x14ac:dyDescent="0.25">
      <c r="B7" s="200" t="s">
        <v>3</v>
      </c>
      <c r="F7" s="854"/>
      <c r="I7" s="139"/>
      <c r="K7" s="201" t="s">
        <v>4</v>
      </c>
      <c r="L7" s="201"/>
    </row>
    <row r="8" spans="1:258" s="303" customFormat="1" ht="21" customHeight="1" thickBot="1" x14ac:dyDescent="0.3">
      <c r="A8" s="301"/>
      <c r="B8" s="649" t="s">
        <v>502</v>
      </c>
      <c r="C8" s="650" t="s">
        <v>135</v>
      </c>
      <c r="D8" s="650">
        <v>2021</v>
      </c>
      <c r="E8" s="650">
        <v>2024</v>
      </c>
      <c r="F8" s="838">
        <v>2025</v>
      </c>
      <c r="G8" s="650"/>
      <c r="H8" s="651" t="s">
        <v>502</v>
      </c>
      <c r="I8" s="651" t="s">
        <v>135</v>
      </c>
      <c r="J8" s="650">
        <v>2021</v>
      </c>
      <c r="K8" s="650">
        <v>2024</v>
      </c>
      <c r="L8" s="650">
        <v>2025</v>
      </c>
      <c r="M8" s="302"/>
      <c r="N8" s="302"/>
      <c r="O8" s="302"/>
      <c r="P8" s="301"/>
      <c r="Q8" s="301"/>
      <c r="R8" s="301"/>
      <c r="S8" s="301"/>
      <c r="T8" s="301"/>
      <c r="U8" s="301"/>
      <c r="V8" s="301"/>
      <c r="W8" s="301"/>
      <c r="X8" s="301"/>
      <c r="Y8" s="301"/>
      <c r="Z8" s="301"/>
      <c r="AA8" s="301"/>
      <c r="AB8" s="301"/>
      <c r="AC8" s="301"/>
      <c r="AD8" s="301"/>
      <c r="AE8" s="301"/>
      <c r="AF8" s="301"/>
      <c r="AG8" s="301"/>
      <c r="AH8" s="301"/>
      <c r="AI8" s="301"/>
      <c r="AJ8" s="301"/>
      <c r="AK8" s="301"/>
      <c r="AL8" s="301"/>
      <c r="AM8" s="301"/>
      <c r="AN8" s="301"/>
      <c r="AO8" s="301"/>
      <c r="AP8" s="301"/>
      <c r="AQ8" s="301"/>
      <c r="AR8" s="301"/>
      <c r="AS8" s="301"/>
      <c r="AT8" s="301"/>
      <c r="AU8" s="301"/>
      <c r="AV8" s="301"/>
      <c r="AW8" s="301"/>
      <c r="AX8" s="301"/>
      <c r="AY8" s="301"/>
      <c r="AZ8" s="301"/>
      <c r="BA8" s="301"/>
      <c r="BB8" s="301"/>
      <c r="BC8" s="301"/>
      <c r="BD8" s="301"/>
      <c r="BE8" s="301"/>
      <c r="BF8" s="301"/>
      <c r="BG8" s="301"/>
      <c r="BH8" s="301"/>
      <c r="BI8" s="301"/>
      <c r="BJ8" s="301"/>
      <c r="BK8" s="301"/>
      <c r="BL8" s="301"/>
      <c r="BM8" s="301"/>
      <c r="BN8" s="301"/>
      <c r="BO8" s="301"/>
      <c r="BP8" s="301"/>
      <c r="BQ8" s="301"/>
      <c r="BR8" s="301"/>
      <c r="BS8" s="301"/>
      <c r="BT8" s="301"/>
      <c r="BU8" s="301"/>
      <c r="BV8" s="301"/>
      <c r="BW8" s="301"/>
      <c r="BX8" s="301"/>
      <c r="BY8" s="301"/>
      <c r="BZ8" s="301"/>
      <c r="CA8" s="301"/>
      <c r="CB8" s="301"/>
      <c r="CC8" s="301"/>
      <c r="CD8" s="301"/>
      <c r="CE8" s="301"/>
      <c r="CF8" s="301"/>
      <c r="CG8" s="301"/>
      <c r="CH8" s="301"/>
      <c r="CI8" s="301"/>
      <c r="CJ8" s="301"/>
      <c r="CK8" s="301"/>
      <c r="CL8" s="301"/>
      <c r="CM8" s="301"/>
      <c r="CN8" s="301"/>
      <c r="CO8" s="301"/>
      <c r="CP8" s="301"/>
      <c r="CQ8" s="301"/>
      <c r="CR8" s="301"/>
      <c r="CS8" s="301"/>
      <c r="CT8" s="301"/>
      <c r="CU8" s="301"/>
      <c r="CV8" s="301"/>
      <c r="CW8" s="301"/>
      <c r="CX8" s="301"/>
      <c r="CY8" s="301"/>
      <c r="CZ8" s="301"/>
      <c r="DA8" s="301"/>
      <c r="DB8" s="301"/>
      <c r="DC8" s="301"/>
      <c r="DD8" s="301"/>
      <c r="DE8" s="301"/>
      <c r="DF8" s="301"/>
      <c r="DG8" s="301"/>
      <c r="DH8" s="301"/>
      <c r="DI8" s="301"/>
      <c r="DJ8" s="301"/>
      <c r="DK8" s="301"/>
      <c r="DL8" s="301"/>
      <c r="DM8" s="301"/>
      <c r="DN8" s="301"/>
      <c r="DO8" s="301"/>
      <c r="DP8" s="301"/>
      <c r="DQ8" s="301"/>
      <c r="DR8" s="301"/>
      <c r="DS8" s="301"/>
      <c r="DT8" s="301"/>
      <c r="DU8" s="301"/>
      <c r="DV8" s="301"/>
      <c r="DW8" s="301"/>
      <c r="DX8" s="301"/>
      <c r="DY8" s="301"/>
      <c r="DZ8" s="301"/>
      <c r="EA8" s="301"/>
      <c r="EB8" s="301"/>
      <c r="EC8" s="301"/>
      <c r="ED8" s="301"/>
      <c r="EE8" s="301"/>
      <c r="EF8" s="301"/>
      <c r="EG8" s="301"/>
      <c r="EH8" s="301"/>
      <c r="EI8" s="301"/>
      <c r="EJ8" s="301"/>
      <c r="EK8" s="301"/>
      <c r="EL8" s="301"/>
      <c r="EM8" s="301"/>
      <c r="EN8" s="301"/>
      <c r="EO8" s="301"/>
      <c r="EP8" s="301"/>
      <c r="EQ8" s="301"/>
      <c r="ER8" s="301"/>
      <c r="ES8" s="301"/>
      <c r="ET8" s="301"/>
      <c r="EU8" s="301"/>
      <c r="EV8" s="301"/>
      <c r="EW8" s="301"/>
      <c r="EX8" s="301"/>
      <c r="EY8" s="301"/>
      <c r="EZ8" s="301"/>
      <c r="FA8" s="301"/>
      <c r="FB8" s="301"/>
      <c r="FC8" s="301"/>
      <c r="FD8" s="301"/>
      <c r="FE8" s="301"/>
      <c r="FF8" s="301"/>
      <c r="FG8" s="301"/>
      <c r="FH8" s="301"/>
      <c r="FI8" s="301"/>
      <c r="FJ8" s="301"/>
      <c r="FK8" s="301"/>
      <c r="FL8" s="301"/>
      <c r="FM8" s="301"/>
      <c r="FN8" s="301"/>
      <c r="FO8" s="301"/>
      <c r="FP8" s="301"/>
      <c r="FQ8" s="301"/>
      <c r="FR8" s="301"/>
      <c r="FS8" s="301"/>
      <c r="FT8" s="301"/>
      <c r="FU8" s="301"/>
      <c r="FV8" s="301"/>
      <c r="FW8" s="301"/>
      <c r="FX8" s="301"/>
      <c r="FY8" s="301"/>
      <c r="FZ8" s="301"/>
      <c r="GA8" s="301"/>
      <c r="GB8" s="301"/>
      <c r="GC8" s="301"/>
      <c r="GD8" s="301"/>
      <c r="GE8" s="301"/>
      <c r="GF8" s="301"/>
      <c r="GG8" s="301"/>
      <c r="GH8" s="301"/>
      <c r="GI8" s="301"/>
      <c r="GJ8" s="301"/>
      <c r="GK8" s="301"/>
      <c r="GL8" s="301"/>
      <c r="GM8" s="301"/>
      <c r="GN8" s="301"/>
      <c r="GO8" s="301"/>
      <c r="GP8" s="301"/>
      <c r="GQ8" s="301"/>
      <c r="GR8" s="301"/>
      <c r="GS8" s="301"/>
      <c r="GT8" s="301"/>
      <c r="GU8" s="301"/>
      <c r="GV8" s="301"/>
      <c r="GW8" s="301"/>
      <c r="GX8" s="301"/>
      <c r="GY8" s="301"/>
      <c r="GZ8" s="301"/>
      <c r="HA8" s="301"/>
      <c r="HB8" s="301"/>
      <c r="HC8" s="301"/>
      <c r="HD8" s="301"/>
      <c r="HE8" s="301"/>
      <c r="HF8" s="301"/>
      <c r="HG8" s="301"/>
      <c r="HH8" s="301"/>
      <c r="HI8" s="301"/>
      <c r="HJ8" s="301"/>
      <c r="HK8" s="301"/>
      <c r="HL8" s="301"/>
      <c r="HM8" s="301"/>
      <c r="HN8" s="301"/>
      <c r="HO8" s="301"/>
      <c r="HP8" s="301"/>
      <c r="HQ8" s="301"/>
      <c r="HR8" s="301"/>
      <c r="HS8" s="301"/>
      <c r="HT8" s="301"/>
      <c r="HU8" s="301"/>
      <c r="HV8" s="301"/>
      <c r="HW8" s="301"/>
      <c r="HX8" s="301"/>
      <c r="HY8" s="301"/>
      <c r="HZ8" s="301"/>
      <c r="IA8" s="301"/>
      <c r="IB8" s="301"/>
      <c r="IC8" s="301"/>
      <c r="ID8" s="301"/>
      <c r="IE8" s="301"/>
      <c r="IF8" s="301"/>
      <c r="IG8" s="301"/>
      <c r="IH8" s="301"/>
      <c r="II8" s="301"/>
      <c r="IJ8" s="301"/>
      <c r="IK8" s="301"/>
      <c r="IL8" s="301"/>
      <c r="IM8" s="301"/>
      <c r="IN8" s="301"/>
      <c r="IO8" s="301"/>
      <c r="IP8" s="301"/>
      <c r="IQ8" s="301"/>
      <c r="IR8" s="301"/>
      <c r="IS8" s="301"/>
      <c r="IT8" s="301"/>
      <c r="IU8" s="301"/>
      <c r="IV8" s="301"/>
      <c r="IW8" s="301"/>
      <c r="IX8" s="301"/>
    </row>
    <row r="9" spans="1:258" ht="15.75" thickTop="1" x14ac:dyDescent="0.25">
      <c r="B9" s="204"/>
      <c r="C9" s="204"/>
      <c r="D9" s="204"/>
      <c r="E9" s="204"/>
      <c r="F9" s="839"/>
      <c r="G9" s="204"/>
      <c r="H9" s="648"/>
      <c r="I9" s="648"/>
      <c r="J9" s="204"/>
      <c r="K9" s="204"/>
      <c r="L9" s="204"/>
      <c r="M9" s="125"/>
      <c r="N9" s="125"/>
      <c r="O9" s="125"/>
    </row>
    <row r="10" spans="1:258" x14ac:dyDescent="0.25">
      <c r="B10" s="202" t="s">
        <v>136</v>
      </c>
      <c r="C10" s="203" t="s">
        <v>137</v>
      </c>
      <c r="D10" s="450">
        <f>SUM(D11:D16)</f>
        <v>26477800.550000001</v>
      </c>
      <c r="E10" s="450">
        <f>SUM(E11:E16)</f>
        <v>61596228.82</v>
      </c>
      <c r="F10" s="840">
        <f>SUM(F11:F16)</f>
        <v>302899331.00200003</v>
      </c>
      <c r="G10" s="204"/>
      <c r="H10" s="202" t="s">
        <v>144</v>
      </c>
      <c r="I10" s="203" t="s">
        <v>139</v>
      </c>
      <c r="J10" s="205"/>
      <c r="K10" s="204"/>
      <c r="L10" s="204"/>
      <c r="M10" s="129"/>
      <c r="N10" s="129"/>
      <c r="O10" s="125"/>
    </row>
    <row r="11" spans="1:258" x14ac:dyDescent="0.25">
      <c r="B11" s="429">
        <v>1</v>
      </c>
      <c r="C11" s="410" t="s">
        <v>699</v>
      </c>
      <c r="D11" s="208">
        <f>20098004.55</f>
        <v>20098004.550000001</v>
      </c>
      <c r="E11" s="574">
        <v>52884578.82</v>
      </c>
      <c r="F11" s="841">
        <f>bumdes!E121</f>
        <v>295050431.00200003</v>
      </c>
      <c r="G11" s="210"/>
      <c r="H11" s="211"/>
      <c r="I11" s="529" t="s">
        <v>663</v>
      </c>
      <c r="J11" s="210"/>
      <c r="K11" s="212">
        <v>0</v>
      </c>
      <c r="L11" s="634"/>
      <c r="M11" s="130"/>
      <c r="N11" s="129"/>
      <c r="O11" s="125"/>
    </row>
    <row r="12" spans="1:258" x14ac:dyDescent="0.25">
      <c r="B12" s="429">
        <v>2</v>
      </c>
      <c r="C12" s="410" t="s">
        <v>499</v>
      </c>
      <c r="D12" s="208">
        <v>1056800</v>
      </c>
      <c r="E12" s="209">
        <v>5457800</v>
      </c>
      <c r="F12" s="841">
        <f>gedung!D109</f>
        <v>7748900</v>
      </c>
      <c r="G12" s="210"/>
      <c r="H12" s="210"/>
      <c r="I12" s="213" t="s">
        <v>151</v>
      </c>
      <c r="J12" s="214">
        <v>14820000</v>
      </c>
      <c r="K12" s="212">
        <v>17320000</v>
      </c>
      <c r="L12" s="233">
        <f>SUM(L13:L14)</f>
        <v>17840000</v>
      </c>
      <c r="M12" s="130">
        <f>K12-L12</f>
        <v>-520000</v>
      </c>
      <c r="N12" s="129"/>
      <c r="O12" s="125"/>
    </row>
    <row r="13" spans="1:258" x14ac:dyDescent="0.25">
      <c r="B13" s="429">
        <v>3</v>
      </c>
      <c r="C13" s="410" t="s">
        <v>500</v>
      </c>
      <c r="D13" s="208">
        <v>230000</v>
      </c>
      <c r="E13" s="209">
        <v>0</v>
      </c>
      <c r="F13" s="841">
        <f>'sum sp'!D63</f>
        <v>0</v>
      </c>
      <c r="G13" s="210"/>
      <c r="H13" s="210"/>
      <c r="I13" s="248" t="s">
        <v>208</v>
      </c>
      <c r="J13" s="214">
        <v>3000000</v>
      </c>
      <c r="K13" s="212">
        <v>2800000</v>
      </c>
      <c r="L13" s="233">
        <f>tabungan!N73</f>
        <v>2750000</v>
      </c>
      <c r="M13" s="130">
        <f t="shared" ref="M13:M14" si="0">K13-L13</f>
        <v>50000</v>
      </c>
      <c r="N13" s="129"/>
      <c r="O13" s="125"/>
    </row>
    <row r="14" spans="1:258" x14ac:dyDescent="0.25">
      <c r="B14" s="429">
        <v>4</v>
      </c>
      <c r="C14" s="410" t="s">
        <v>665</v>
      </c>
      <c r="D14" s="208"/>
      <c r="E14" s="209">
        <v>3253850</v>
      </c>
      <c r="F14" s="841">
        <f>'SUM LAPAK'!C59</f>
        <v>100000</v>
      </c>
      <c r="G14" s="210"/>
      <c r="H14" s="210"/>
      <c r="I14" s="248" t="s">
        <v>209</v>
      </c>
      <c r="J14" s="214">
        <v>11820000</v>
      </c>
      <c r="K14" s="212">
        <v>14520000</v>
      </c>
      <c r="L14" s="233">
        <f>tabungan!N169</f>
        <v>15090000</v>
      </c>
      <c r="M14" s="130">
        <f t="shared" si="0"/>
        <v>-570000</v>
      </c>
      <c r="N14" s="129"/>
      <c r="O14" s="125"/>
    </row>
    <row r="15" spans="1:258" x14ac:dyDescent="0.25">
      <c r="B15" s="429">
        <v>5</v>
      </c>
      <c r="C15" s="410" t="s">
        <v>672</v>
      </c>
      <c r="D15" s="208">
        <f>4893269+199727</f>
        <v>5092996</v>
      </c>
      <c r="E15" s="209">
        <v>0</v>
      </c>
      <c r="F15" s="841">
        <v>0</v>
      </c>
      <c r="G15" s="210"/>
      <c r="H15" s="210"/>
      <c r="I15" s="215" t="s">
        <v>108</v>
      </c>
      <c r="J15" s="216">
        <f>SUM(J10:J12)</f>
        <v>14820000</v>
      </c>
      <c r="K15" s="216">
        <f>K11+K12</f>
        <v>17320000</v>
      </c>
      <c r="L15" s="216">
        <f>L11+L12</f>
        <v>17840000</v>
      </c>
      <c r="M15" s="130"/>
      <c r="N15" s="129"/>
      <c r="O15" s="125"/>
    </row>
    <row r="16" spans="1:258" x14ac:dyDescent="0.25">
      <c r="A16" s="176"/>
      <c r="B16" s="429"/>
      <c r="C16" s="410"/>
      <c r="D16" s="208"/>
      <c r="E16" s="209"/>
      <c r="F16" s="841"/>
      <c r="G16" s="232"/>
      <c r="H16" s="232"/>
      <c r="I16" s="215"/>
      <c r="J16" s="168"/>
      <c r="K16" s="168"/>
      <c r="L16" s="168"/>
      <c r="M16" s="217"/>
      <c r="N16" s="129"/>
      <c r="O16" s="183"/>
      <c r="P16" s="176"/>
      <c r="Q16" s="176"/>
      <c r="R16" s="176"/>
      <c r="S16" s="176"/>
      <c r="T16" s="176"/>
      <c r="U16" s="176"/>
      <c r="V16" s="176"/>
      <c r="W16" s="176"/>
      <c r="X16" s="176"/>
      <c r="Y16" s="176"/>
      <c r="Z16" s="176"/>
      <c r="AA16" s="176"/>
      <c r="AB16" s="176"/>
      <c r="AC16" s="176"/>
      <c r="AD16" s="176"/>
      <c r="AE16" s="176"/>
      <c r="AF16" s="176"/>
      <c r="AG16" s="176"/>
      <c r="AH16" s="176"/>
      <c r="AI16" s="176"/>
      <c r="AJ16" s="176"/>
      <c r="AK16" s="176"/>
      <c r="AL16" s="176"/>
      <c r="AM16" s="176"/>
      <c r="AN16" s="176"/>
      <c r="AO16" s="176"/>
      <c r="AP16" s="176"/>
      <c r="AQ16" s="176"/>
      <c r="AR16" s="176"/>
      <c r="AS16" s="176"/>
      <c r="AT16" s="176"/>
      <c r="AU16" s="176"/>
      <c r="AV16" s="176"/>
      <c r="AW16" s="176"/>
      <c r="AX16" s="176"/>
      <c r="AY16" s="176"/>
      <c r="AZ16" s="176"/>
      <c r="BA16" s="176"/>
      <c r="BB16" s="176"/>
      <c r="BC16" s="176"/>
      <c r="BD16" s="176"/>
      <c r="BE16" s="176"/>
      <c r="BF16" s="176"/>
      <c r="BG16" s="176"/>
      <c r="BH16" s="176"/>
      <c r="BI16" s="176"/>
      <c r="BJ16" s="176"/>
      <c r="BK16" s="176"/>
      <c r="BL16" s="176"/>
      <c r="BM16" s="176"/>
      <c r="BN16" s="176"/>
      <c r="BO16" s="176"/>
      <c r="BP16" s="176"/>
      <c r="BQ16" s="176"/>
      <c r="BR16" s="176"/>
      <c r="BS16" s="176"/>
      <c r="BT16" s="176"/>
      <c r="BU16" s="176"/>
      <c r="BV16" s="176"/>
      <c r="BW16" s="176"/>
      <c r="BX16" s="176"/>
      <c r="BY16" s="176"/>
      <c r="BZ16" s="176"/>
      <c r="CA16" s="176"/>
      <c r="CB16" s="176"/>
      <c r="CC16" s="176"/>
      <c r="CD16" s="176"/>
      <c r="CE16" s="176"/>
      <c r="CF16" s="176"/>
      <c r="CG16" s="176"/>
      <c r="CH16" s="176"/>
      <c r="CI16" s="176"/>
      <c r="CJ16" s="176"/>
      <c r="CK16" s="176"/>
      <c r="CL16" s="176"/>
      <c r="CM16" s="176"/>
      <c r="CN16" s="176"/>
      <c r="CO16" s="176"/>
      <c r="CP16" s="176"/>
      <c r="CQ16" s="176"/>
      <c r="CR16" s="176"/>
      <c r="CS16" s="176"/>
      <c r="CT16" s="176"/>
      <c r="CU16" s="176"/>
      <c r="CV16" s="176"/>
      <c r="CW16" s="176"/>
      <c r="CX16" s="176"/>
      <c r="CY16" s="176"/>
      <c r="CZ16" s="176"/>
      <c r="DA16" s="176"/>
      <c r="DB16" s="176"/>
      <c r="DC16" s="176"/>
      <c r="DD16" s="176"/>
      <c r="DE16" s="176"/>
      <c r="DF16" s="176"/>
      <c r="DG16" s="176"/>
      <c r="DH16" s="176"/>
      <c r="DI16" s="176"/>
      <c r="DJ16" s="176"/>
      <c r="DK16" s="176"/>
      <c r="DL16" s="176"/>
      <c r="DM16" s="176"/>
      <c r="DN16" s="176"/>
      <c r="DO16" s="176"/>
      <c r="DP16" s="176"/>
      <c r="DQ16" s="176"/>
      <c r="DR16" s="176"/>
      <c r="DS16" s="176"/>
      <c r="DT16" s="176"/>
      <c r="DU16" s="176"/>
      <c r="DV16" s="176"/>
      <c r="DW16" s="176"/>
      <c r="DX16" s="176"/>
      <c r="DY16" s="176"/>
      <c r="DZ16" s="176"/>
      <c r="EA16" s="176"/>
      <c r="EB16" s="176"/>
      <c r="EC16" s="176"/>
      <c r="ED16" s="176"/>
      <c r="EE16" s="176"/>
      <c r="EF16" s="176"/>
      <c r="EG16" s="176"/>
      <c r="EH16" s="176"/>
      <c r="EI16" s="176"/>
      <c r="EJ16" s="176"/>
      <c r="EK16" s="176"/>
      <c r="EL16" s="176"/>
      <c r="EM16" s="176"/>
      <c r="EN16" s="176"/>
      <c r="EO16" s="176"/>
      <c r="EP16" s="176"/>
      <c r="EQ16" s="176"/>
      <c r="ER16" s="176"/>
      <c r="ES16" s="176"/>
      <c r="ET16" s="176"/>
      <c r="EU16" s="176"/>
      <c r="EV16" s="176"/>
      <c r="EW16" s="176"/>
      <c r="EX16" s="176"/>
      <c r="EY16" s="176"/>
      <c r="EZ16" s="176"/>
      <c r="FA16" s="176"/>
      <c r="FB16" s="176"/>
      <c r="FC16" s="176"/>
      <c r="FD16" s="176"/>
      <c r="FE16" s="176"/>
      <c r="FF16" s="176"/>
      <c r="FG16" s="176"/>
      <c r="FH16" s="176"/>
      <c r="FI16" s="176"/>
      <c r="FJ16" s="176"/>
      <c r="FK16" s="176"/>
      <c r="FL16" s="176"/>
      <c r="FM16" s="176"/>
      <c r="FN16" s="176"/>
      <c r="FO16" s="176"/>
      <c r="FP16" s="176"/>
      <c r="FQ16" s="176"/>
      <c r="FR16" s="176"/>
      <c r="FS16" s="176"/>
      <c r="FT16" s="176"/>
      <c r="FU16" s="176"/>
      <c r="FV16" s="176"/>
      <c r="FW16" s="176"/>
      <c r="FX16" s="176"/>
      <c r="FY16" s="176"/>
      <c r="FZ16" s="176"/>
      <c r="GA16" s="176"/>
      <c r="GB16" s="176"/>
      <c r="GC16" s="176"/>
      <c r="GD16" s="176"/>
      <c r="GE16" s="176"/>
      <c r="GF16" s="176"/>
      <c r="GG16" s="176"/>
      <c r="GH16" s="176"/>
      <c r="GI16" s="176"/>
      <c r="GJ16" s="176"/>
      <c r="GK16" s="176"/>
      <c r="GL16" s="176"/>
      <c r="GM16" s="176"/>
      <c r="GN16" s="176"/>
      <c r="GO16" s="176"/>
      <c r="GP16" s="176"/>
      <c r="GQ16" s="176"/>
      <c r="GR16" s="176"/>
      <c r="GS16" s="176"/>
      <c r="GT16" s="176"/>
      <c r="GU16" s="176"/>
      <c r="GV16" s="176"/>
      <c r="GW16" s="176"/>
      <c r="GX16" s="176"/>
      <c r="GY16" s="176"/>
      <c r="GZ16" s="176"/>
      <c r="HA16" s="176"/>
      <c r="HB16" s="176"/>
      <c r="HC16" s="176"/>
      <c r="HD16" s="176"/>
      <c r="HE16" s="176"/>
      <c r="HF16" s="176"/>
      <c r="HG16" s="176"/>
      <c r="HH16" s="176"/>
      <c r="HI16" s="176"/>
      <c r="HJ16" s="176"/>
      <c r="HK16" s="176"/>
      <c r="HL16" s="176"/>
      <c r="HM16" s="176"/>
      <c r="HN16" s="176"/>
      <c r="HO16" s="176"/>
      <c r="HP16" s="176"/>
      <c r="HQ16" s="176"/>
      <c r="HR16" s="176"/>
      <c r="HS16" s="176"/>
      <c r="HT16" s="176"/>
      <c r="HU16" s="176"/>
      <c r="HV16" s="176"/>
      <c r="HW16" s="176"/>
      <c r="HX16" s="176"/>
      <c r="HY16" s="176"/>
      <c r="HZ16" s="176"/>
      <c r="IA16" s="176"/>
      <c r="IB16" s="176"/>
      <c r="IC16" s="176"/>
      <c r="ID16" s="176"/>
      <c r="IE16" s="176"/>
      <c r="IF16" s="176"/>
      <c r="IG16" s="176"/>
      <c r="IH16" s="176"/>
      <c r="II16" s="176"/>
      <c r="IJ16" s="176"/>
      <c r="IK16" s="176"/>
      <c r="IL16" s="176"/>
      <c r="IM16" s="176"/>
      <c r="IN16" s="176"/>
      <c r="IO16" s="176"/>
      <c r="IP16" s="176"/>
      <c r="IQ16" s="176"/>
      <c r="IR16" s="176"/>
      <c r="IS16" s="176"/>
      <c r="IT16" s="176"/>
      <c r="IU16" s="176"/>
      <c r="IV16" s="176"/>
      <c r="IW16" s="176"/>
      <c r="IX16" s="176"/>
    </row>
    <row r="17" spans="1:258" x14ac:dyDescent="0.25">
      <c r="B17" s="532">
        <v>6</v>
      </c>
      <c r="C17" s="215" t="s">
        <v>6</v>
      </c>
      <c r="D17" s="451">
        <f>D18</f>
        <v>110000000</v>
      </c>
      <c r="E17" s="451">
        <f>E18</f>
        <v>95000000</v>
      </c>
      <c r="F17" s="842">
        <f>F18</f>
        <v>89000000</v>
      </c>
      <c r="G17" s="210"/>
      <c r="H17" s="454" t="s">
        <v>138</v>
      </c>
      <c r="I17" s="220" t="s">
        <v>141</v>
      </c>
      <c r="J17" s="215"/>
      <c r="K17" s="168"/>
      <c r="L17" s="168"/>
      <c r="M17" s="125">
        <v>8133639.9199999999</v>
      </c>
      <c r="N17" s="129"/>
      <c r="O17" s="125"/>
    </row>
    <row r="18" spans="1:258" x14ac:dyDescent="0.25">
      <c r="B18" s="271"/>
      <c r="C18" s="269" t="s">
        <v>409</v>
      </c>
      <c r="D18" s="252">
        <f>SUM(D19:D20)</f>
        <v>110000000</v>
      </c>
      <c r="E18" s="252">
        <f>SUM(E19:E22)</f>
        <v>95000000</v>
      </c>
      <c r="F18" s="443">
        <f>SUM(F19:F22)</f>
        <v>89000000</v>
      </c>
      <c r="G18" s="210"/>
      <c r="H18" s="219"/>
      <c r="I18" s="128" t="s">
        <v>119</v>
      </c>
      <c r="J18" s="622">
        <v>5567023.2000000002</v>
      </c>
      <c r="K18" s="623">
        <v>3753620.1510000001</v>
      </c>
      <c r="L18" s="490">
        <f>'LAPORAN LABA'!G54</f>
        <v>7120597.4533500196</v>
      </c>
      <c r="M18" s="266">
        <f>K18+K19+K21</f>
        <v>8132843.6605000012</v>
      </c>
      <c r="N18" s="251"/>
      <c r="O18" s="167"/>
    </row>
    <row r="19" spans="1:258" x14ac:dyDescent="0.25">
      <c r="B19" s="270"/>
      <c r="C19" s="207" t="s">
        <v>150</v>
      </c>
      <c r="D19" s="273">
        <v>60000000</v>
      </c>
      <c r="E19" s="209">
        <v>62000000</v>
      </c>
      <c r="F19" s="841">
        <f>piutang!M85</f>
        <v>61000000</v>
      </c>
      <c r="G19" s="210"/>
      <c r="H19" s="210"/>
      <c r="I19" s="128" t="s">
        <v>120</v>
      </c>
      <c r="J19" s="622">
        <v>1855674.4000000001</v>
      </c>
      <c r="K19" s="623">
        <v>1251206.7170000002</v>
      </c>
      <c r="L19" s="490">
        <f>'LAPORAN LABA'!G55</f>
        <v>2373532.4844500064</v>
      </c>
      <c r="M19" s="266">
        <f>M17-M18</f>
        <v>796.2594999987632</v>
      </c>
      <c r="N19" s="251"/>
      <c r="O19" s="167"/>
    </row>
    <row r="20" spans="1:258" x14ac:dyDescent="0.25">
      <c r="A20" s="176"/>
      <c r="B20" s="271"/>
      <c r="C20" s="221" t="s">
        <v>198</v>
      </c>
      <c r="D20" s="273">
        <v>50000000</v>
      </c>
      <c r="E20" s="209">
        <v>33000000</v>
      </c>
      <c r="F20" s="841">
        <f>piutang!M9</f>
        <v>28000000</v>
      </c>
      <c r="G20" s="232"/>
      <c r="H20" s="210"/>
      <c r="I20" s="128" t="s">
        <v>121</v>
      </c>
      <c r="J20" s="622">
        <f>4975771.7-9</f>
        <v>4975762.7</v>
      </c>
      <c r="K20" s="623">
        <v>10196827.617000001</v>
      </c>
      <c r="L20" s="490">
        <f>K20+'LAPORAN LABA'!G56</f>
        <v>12570360.101450007</v>
      </c>
      <c r="M20" s="266">
        <f>K20-L20</f>
        <v>-2373532.4844500069</v>
      </c>
      <c r="N20" s="251"/>
      <c r="O20" s="183"/>
      <c r="P20" s="176"/>
      <c r="Q20" s="176"/>
      <c r="R20" s="176"/>
      <c r="S20" s="176"/>
      <c r="T20" s="176"/>
      <c r="U20" s="176"/>
      <c r="V20" s="176"/>
      <c r="W20" s="176"/>
      <c r="X20" s="176"/>
      <c r="Y20" s="176"/>
      <c r="Z20" s="176"/>
      <c r="AA20" s="176"/>
      <c r="AB20" s="176"/>
      <c r="AC20" s="176"/>
      <c r="AD20" s="176"/>
      <c r="AE20" s="176"/>
      <c r="AF20" s="176"/>
      <c r="AG20" s="176"/>
      <c r="AH20" s="176"/>
      <c r="AI20" s="176"/>
      <c r="AJ20" s="176"/>
      <c r="AK20" s="176"/>
      <c r="AL20" s="176"/>
      <c r="AM20" s="176"/>
      <c r="AN20" s="176"/>
      <c r="AO20" s="176"/>
      <c r="AP20" s="176"/>
      <c r="AQ20" s="176"/>
      <c r="AR20" s="176"/>
      <c r="AS20" s="176"/>
      <c r="AT20" s="176"/>
      <c r="AU20" s="176"/>
      <c r="AV20" s="176"/>
      <c r="AW20" s="176"/>
      <c r="AX20" s="176"/>
      <c r="AY20" s="176"/>
      <c r="AZ20" s="176"/>
      <c r="BA20" s="176"/>
      <c r="BB20" s="176"/>
      <c r="BC20" s="176"/>
      <c r="BD20" s="176"/>
      <c r="BE20" s="176"/>
      <c r="BF20" s="176"/>
      <c r="BG20" s="176"/>
      <c r="BH20" s="176"/>
      <c r="BI20" s="176"/>
      <c r="BJ20" s="176"/>
      <c r="BK20" s="176"/>
      <c r="BL20" s="176"/>
      <c r="BM20" s="176"/>
      <c r="BN20" s="176"/>
      <c r="BO20" s="176"/>
      <c r="BP20" s="176"/>
      <c r="BQ20" s="176"/>
      <c r="BR20" s="176"/>
      <c r="BS20" s="176"/>
      <c r="BT20" s="176"/>
      <c r="BU20" s="176"/>
      <c r="BV20" s="176"/>
      <c r="BW20" s="176"/>
      <c r="BX20" s="176"/>
      <c r="BY20" s="176"/>
      <c r="BZ20" s="176"/>
      <c r="CA20" s="176"/>
      <c r="CB20" s="176"/>
      <c r="CC20" s="176"/>
      <c r="CD20" s="176"/>
      <c r="CE20" s="176"/>
      <c r="CF20" s="176"/>
      <c r="CG20" s="176"/>
      <c r="CH20" s="176"/>
      <c r="CI20" s="176"/>
      <c r="CJ20" s="176"/>
      <c r="CK20" s="176"/>
      <c r="CL20" s="176"/>
      <c r="CM20" s="176"/>
      <c r="CN20" s="176"/>
      <c r="CO20" s="176"/>
      <c r="CP20" s="176"/>
      <c r="CQ20" s="176"/>
      <c r="CR20" s="176"/>
      <c r="CS20" s="176"/>
      <c r="CT20" s="176"/>
      <c r="CU20" s="176"/>
      <c r="CV20" s="176"/>
      <c r="CW20" s="176"/>
      <c r="CX20" s="176"/>
      <c r="CY20" s="176"/>
      <c r="CZ20" s="176"/>
      <c r="DA20" s="176"/>
      <c r="DB20" s="176"/>
      <c r="DC20" s="176"/>
      <c r="DD20" s="176"/>
      <c r="DE20" s="176"/>
      <c r="DF20" s="176"/>
      <c r="DG20" s="176"/>
      <c r="DH20" s="176"/>
      <c r="DI20" s="176"/>
      <c r="DJ20" s="176"/>
      <c r="DK20" s="176"/>
      <c r="DL20" s="176"/>
      <c r="DM20" s="176"/>
      <c r="DN20" s="176"/>
      <c r="DO20" s="176"/>
      <c r="DP20" s="176"/>
      <c r="DQ20" s="176"/>
      <c r="DR20" s="176"/>
      <c r="DS20" s="176"/>
      <c r="DT20" s="176"/>
      <c r="DU20" s="176"/>
      <c r="DV20" s="176"/>
      <c r="DW20" s="176"/>
      <c r="DX20" s="176"/>
      <c r="DY20" s="176"/>
      <c r="DZ20" s="176"/>
      <c r="EA20" s="176"/>
      <c r="EB20" s="176"/>
      <c r="EC20" s="176"/>
      <c r="ED20" s="176"/>
      <c r="EE20" s="176"/>
      <c r="EF20" s="176"/>
      <c r="EG20" s="176"/>
      <c r="EH20" s="176"/>
      <c r="EI20" s="176"/>
      <c r="EJ20" s="176"/>
      <c r="EK20" s="176"/>
      <c r="EL20" s="176"/>
      <c r="EM20" s="176"/>
      <c r="EN20" s="176"/>
      <c r="EO20" s="176"/>
      <c r="EP20" s="176"/>
      <c r="EQ20" s="176"/>
      <c r="ER20" s="176"/>
      <c r="ES20" s="176"/>
      <c r="ET20" s="176"/>
      <c r="EU20" s="176"/>
      <c r="EV20" s="176"/>
      <c r="EW20" s="176"/>
      <c r="EX20" s="176"/>
      <c r="EY20" s="176"/>
      <c r="EZ20" s="176"/>
      <c r="FA20" s="176"/>
      <c r="FB20" s="176"/>
      <c r="FC20" s="176"/>
      <c r="FD20" s="176"/>
      <c r="FE20" s="176"/>
      <c r="FF20" s="176"/>
      <c r="FG20" s="176"/>
      <c r="FH20" s="176"/>
      <c r="FI20" s="176"/>
      <c r="FJ20" s="176"/>
      <c r="FK20" s="176"/>
      <c r="FL20" s="176"/>
      <c r="FM20" s="176"/>
      <c r="FN20" s="176"/>
      <c r="FO20" s="176"/>
      <c r="FP20" s="176"/>
      <c r="FQ20" s="176"/>
      <c r="FR20" s="176"/>
      <c r="FS20" s="176"/>
      <c r="FT20" s="176"/>
      <c r="FU20" s="176"/>
      <c r="FV20" s="176"/>
      <c r="FW20" s="176"/>
      <c r="FX20" s="176"/>
      <c r="FY20" s="176"/>
      <c r="FZ20" s="176"/>
      <c r="GA20" s="176"/>
      <c r="GB20" s="176"/>
      <c r="GC20" s="176"/>
      <c r="GD20" s="176"/>
      <c r="GE20" s="176"/>
      <c r="GF20" s="176"/>
      <c r="GG20" s="176"/>
      <c r="GH20" s="176"/>
      <c r="GI20" s="176"/>
      <c r="GJ20" s="176"/>
      <c r="GK20" s="176"/>
      <c r="GL20" s="176"/>
      <c r="GM20" s="176"/>
      <c r="GN20" s="176"/>
      <c r="GO20" s="176"/>
      <c r="GP20" s="176"/>
      <c r="GQ20" s="176"/>
      <c r="GR20" s="176"/>
      <c r="GS20" s="176"/>
      <c r="GT20" s="176"/>
      <c r="GU20" s="176"/>
      <c r="GV20" s="176"/>
      <c r="GW20" s="176"/>
      <c r="GX20" s="176"/>
      <c r="GY20" s="176"/>
      <c r="GZ20" s="176"/>
      <c r="HA20" s="176"/>
      <c r="HB20" s="176"/>
      <c r="HC20" s="176"/>
      <c r="HD20" s="176"/>
      <c r="HE20" s="176"/>
      <c r="HF20" s="176"/>
      <c r="HG20" s="176"/>
      <c r="HH20" s="176"/>
      <c r="HI20" s="176"/>
      <c r="HJ20" s="176"/>
      <c r="HK20" s="176"/>
      <c r="HL20" s="176"/>
      <c r="HM20" s="176"/>
      <c r="HN20" s="176"/>
      <c r="HO20" s="176"/>
      <c r="HP20" s="176"/>
      <c r="HQ20" s="176"/>
      <c r="HR20" s="176"/>
      <c r="HS20" s="176"/>
      <c r="HT20" s="176"/>
      <c r="HU20" s="176"/>
      <c r="HV20" s="176"/>
      <c r="HW20" s="176"/>
      <c r="HX20" s="176"/>
      <c r="HY20" s="176"/>
      <c r="HZ20" s="176"/>
      <c r="IA20" s="176"/>
      <c r="IB20" s="176"/>
      <c r="IC20" s="176"/>
      <c r="ID20" s="176"/>
      <c r="IE20" s="176"/>
      <c r="IF20" s="176"/>
      <c r="IG20" s="176"/>
      <c r="IH20" s="176"/>
      <c r="II20" s="176"/>
      <c r="IJ20" s="176"/>
      <c r="IK20" s="176"/>
      <c r="IL20" s="176"/>
      <c r="IM20" s="176"/>
      <c r="IN20" s="176"/>
      <c r="IO20" s="176"/>
      <c r="IP20" s="176"/>
      <c r="IQ20" s="176"/>
      <c r="IR20" s="176"/>
      <c r="IS20" s="176"/>
      <c r="IT20" s="176"/>
      <c r="IU20" s="176"/>
      <c r="IV20" s="176"/>
      <c r="IW20" s="176"/>
      <c r="IX20" s="176"/>
    </row>
    <row r="21" spans="1:258" x14ac:dyDescent="0.25">
      <c r="B21" s="271"/>
      <c r="C21" s="410" t="s">
        <v>664</v>
      </c>
      <c r="D21" s="218"/>
      <c r="E21" s="209"/>
      <c r="F21" s="841"/>
      <c r="G21" s="210"/>
      <c r="H21" s="210"/>
      <c r="I21" s="249" t="s">
        <v>406</v>
      </c>
      <c r="J21" s="317">
        <v>4639186</v>
      </c>
      <c r="K21" s="624">
        <v>3128016.7925000004</v>
      </c>
      <c r="L21" s="490">
        <f>'LAPORAN LABA'!G59</f>
        <v>5933831.2111250162</v>
      </c>
      <c r="M21" s="266">
        <f>L18+L19+L21+L27</f>
        <v>21361792.36005006</v>
      </c>
      <c r="N21" s="251"/>
      <c r="O21" s="125"/>
    </row>
    <row r="22" spans="1:258" x14ac:dyDescent="0.25">
      <c r="B22" s="271"/>
      <c r="C22" s="410" t="s">
        <v>673</v>
      </c>
      <c r="D22" s="222"/>
      <c r="E22" s="560">
        <v>0</v>
      </c>
      <c r="F22" s="841"/>
      <c r="G22" s="210"/>
      <c r="H22" s="226"/>
      <c r="I22" s="226"/>
      <c r="J22" s="216">
        <f>SUM(J18:J21)</f>
        <v>17037646.300000001</v>
      </c>
      <c r="K22" s="216">
        <f>SUM(K18:K21)</f>
        <v>18329671.277500004</v>
      </c>
      <c r="L22" s="216">
        <f>SUM(L18:L21)</f>
        <v>27998321.250375047</v>
      </c>
      <c r="M22" s="409">
        <f>L22-K20</f>
        <v>17801493.633375049</v>
      </c>
      <c r="N22" s="251"/>
      <c r="O22" s="167"/>
    </row>
    <row r="23" spans="1:258" x14ac:dyDescent="0.25">
      <c r="B23" s="271"/>
      <c r="C23" s="215" t="s">
        <v>143</v>
      </c>
      <c r="D23" s="216">
        <f>D10+D17</f>
        <v>136477800.55000001</v>
      </c>
      <c r="E23" s="216">
        <f>E10+E17</f>
        <v>156596228.81999999</v>
      </c>
      <c r="F23" s="843">
        <f>F10+F17</f>
        <v>391899331.00200003</v>
      </c>
      <c r="G23" s="210"/>
      <c r="H23" s="226"/>
      <c r="I23" s="226"/>
      <c r="J23" s="209"/>
      <c r="K23" s="209"/>
      <c r="L23" s="209"/>
      <c r="M23" s="130">
        <f>M22+L27</f>
        <v>23735324.844500065</v>
      </c>
      <c r="N23" s="251"/>
      <c r="O23" s="125"/>
    </row>
    <row r="24" spans="1:258" x14ac:dyDescent="0.25">
      <c r="B24" s="206"/>
      <c r="C24" s="223"/>
      <c r="D24" s="210"/>
      <c r="E24" s="210"/>
      <c r="F24" s="844"/>
      <c r="G24" s="232"/>
      <c r="H24" s="454" t="s">
        <v>142</v>
      </c>
      <c r="I24" s="215" t="s">
        <v>147</v>
      </c>
      <c r="J24" s="226"/>
      <c r="K24" s="226"/>
      <c r="L24" s="226"/>
      <c r="M24" s="167"/>
      <c r="N24" s="130"/>
      <c r="O24" s="125"/>
    </row>
    <row r="25" spans="1:258" x14ac:dyDescent="0.25">
      <c r="B25" s="206"/>
      <c r="C25" s="225" t="s">
        <v>145</v>
      </c>
      <c r="D25" s="225"/>
      <c r="E25" s="226"/>
      <c r="F25" s="845"/>
      <c r="G25" s="210"/>
      <c r="H25" s="232"/>
      <c r="I25" s="529" t="s">
        <v>912</v>
      </c>
      <c r="J25" s="233">
        <v>107010334.248</v>
      </c>
      <c r="K25" s="233">
        <v>121574165.748</v>
      </c>
      <c r="L25" s="233">
        <f>K29</f>
        <v>124702182.5405</v>
      </c>
      <c r="M25" s="234"/>
      <c r="N25" s="227"/>
      <c r="O25" s="125"/>
    </row>
    <row r="26" spans="1:258" x14ac:dyDescent="0.25">
      <c r="B26" s="224" t="s">
        <v>140</v>
      </c>
      <c r="C26" s="228" t="s">
        <v>146</v>
      </c>
      <c r="D26" s="229">
        <v>0</v>
      </c>
      <c r="E26" s="222">
        <v>0</v>
      </c>
      <c r="F26" s="846"/>
      <c r="G26" s="210"/>
      <c r="H26" s="210"/>
      <c r="I26" s="236" t="s">
        <v>149</v>
      </c>
      <c r="J26" s="251"/>
      <c r="K26" s="210"/>
      <c r="L26" s="251">
        <f>bumdes!K60</f>
        <v>216700000</v>
      </c>
      <c r="M26" s="167"/>
      <c r="N26" s="129"/>
      <c r="O26" s="125"/>
    </row>
    <row r="27" spans="1:258" x14ac:dyDescent="0.25">
      <c r="B27" s="206"/>
      <c r="C27" s="231" t="s">
        <v>148</v>
      </c>
      <c r="D27" s="222">
        <v>8605000</v>
      </c>
      <c r="E27" s="222">
        <v>19825000</v>
      </c>
      <c r="F27" s="846">
        <f>AKTIVA!F18</f>
        <v>21025000</v>
      </c>
      <c r="G27" s="210"/>
      <c r="H27" s="210"/>
      <c r="I27" s="249" t="s">
        <v>407</v>
      </c>
      <c r="J27" s="251">
        <f>4639186+9</f>
        <v>4639195</v>
      </c>
      <c r="K27" s="574">
        <v>3128016.7925000004</v>
      </c>
      <c r="L27" s="233">
        <f>'LAPORAN LABA'!G58</f>
        <v>5933831.2111250162</v>
      </c>
      <c r="M27" s="167"/>
      <c r="N27" s="129"/>
      <c r="O27" s="125"/>
    </row>
    <row r="28" spans="1:258" x14ac:dyDescent="0.25">
      <c r="B28" s="230"/>
      <c r="C28" s="452" t="s">
        <v>501</v>
      </c>
      <c r="D28" s="453">
        <v>-1575625</v>
      </c>
      <c r="E28" s="453">
        <v>-16069375</v>
      </c>
      <c r="F28" s="847">
        <f>-AKTIVA!M18</f>
        <v>-19749996</v>
      </c>
      <c r="G28" s="210"/>
      <c r="H28" s="210"/>
      <c r="I28" s="210"/>
      <c r="J28" s="210"/>
      <c r="K28" s="210"/>
      <c r="L28" s="232"/>
      <c r="M28" s="167"/>
      <c r="N28" s="129"/>
      <c r="O28" s="125"/>
    </row>
    <row r="29" spans="1:258" ht="15.75" thickBot="1" x14ac:dyDescent="0.3">
      <c r="B29" s="230"/>
      <c r="C29" s="235"/>
      <c r="D29" s="533">
        <f>SUM(D26:D28)</f>
        <v>7029375</v>
      </c>
      <c r="E29" s="551">
        <f>SUM(E26:E28)</f>
        <v>3755625</v>
      </c>
      <c r="F29" s="848">
        <f>SUM(F26:F28)</f>
        <v>1275004</v>
      </c>
      <c r="G29" s="240"/>
      <c r="H29" s="210"/>
      <c r="I29" s="238" t="s">
        <v>108</v>
      </c>
      <c r="J29" s="239">
        <f>SUM(J25:J27)</f>
        <v>111649529.248</v>
      </c>
      <c r="K29" s="239">
        <f>SUM(K25:K27)</f>
        <v>124702182.5405</v>
      </c>
      <c r="L29" s="239">
        <f>SUM(L25:L27)</f>
        <v>347336013.751625</v>
      </c>
      <c r="M29" s="272"/>
      <c r="N29" s="130"/>
      <c r="O29" s="125"/>
    </row>
    <row r="30" spans="1:258" ht="18" customHeight="1" thickTop="1" x14ac:dyDescent="0.25">
      <c r="B30" s="230"/>
      <c r="C30" s="235"/>
      <c r="D30" s="237"/>
      <c r="E30" s="222"/>
      <c r="F30" s="849"/>
      <c r="G30" s="242"/>
      <c r="H30" s="232"/>
      <c r="I30" s="238"/>
      <c r="J30" s="408"/>
      <c r="K30" s="408"/>
      <c r="L30" s="408"/>
      <c r="M30" s="125"/>
      <c r="N30" s="129"/>
      <c r="O30" s="125"/>
    </row>
    <row r="31" spans="1:258" s="241" customFormat="1" ht="15.75" thickBot="1" x14ac:dyDescent="0.3">
      <c r="B31" s="636"/>
      <c r="C31" s="637"/>
      <c r="D31" s="638"/>
      <c r="E31" s="639"/>
      <c r="F31" s="850"/>
      <c r="G31" s="640"/>
      <c r="H31" s="635"/>
      <c r="I31" s="635"/>
      <c r="J31" s="635"/>
      <c r="K31" s="635"/>
      <c r="L31" s="635"/>
      <c r="M31" s="274"/>
      <c r="N31" s="133"/>
      <c r="O31" s="243"/>
    </row>
    <row r="32" spans="1:258" s="647" customFormat="1" ht="24" customHeight="1" thickTop="1" x14ac:dyDescent="0.25">
      <c r="A32" s="641"/>
      <c r="B32" s="642"/>
      <c r="C32" s="643" t="s">
        <v>5</v>
      </c>
      <c r="D32" s="644">
        <f>D23+D29</f>
        <v>143507175.55000001</v>
      </c>
      <c r="E32" s="644">
        <f>E23+E29</f>
        <v>160351853.81999999</v>
      </c>
      <c r="F32" s="851">
        <f>F23+F29</f>
        <v>393174335.00200003</v>
      </c>
      <c r="G32" s="645"/>
      <c r="H32" s="642"/>
      <c r="I32" s="642" t="s">
        <v>5</v>
      </c>
      <c r="J32" s="644">
        <f>J15+J22+J29</f>
        <v>143507175.54800001</v>
      </c>
      <c r="K32" s="644">
        <f>K15+K22+K29</f>
        <v>160351853.81800002</v>
      </c>
      <c r="L32" s="644">
        <f>L15+L22+L29</f>
        <v>393174335.00200003</v>
      </c>
      <c r="M32" s="646"/>
      <c r="N32" s="646"/>
      <c r="O32" s="646"/>
      <c r="P32" s="641"/>
      <c r="Q32" s="641"/>
      <c r="R32" s="641"/>
      <c r="S32" s="641"/>
      <c r="T32" s="641"/>
      <c r="U32" s="641"/>
      <c r="V32" s="641"/>
      <c r="W32" s="641"/>
      <c r="X32" s="641"/>
      <c r="Y32" s="641"/>
      <c r="Z32" s="641"/>
      <c r="AA32" s="641"/>
      <c r="AB32" s="641"/>
      <c r="AC32" s="641"/>
      <c r="AD32" s="641"/>
      <c r="AE32" s="641"/>
      <c r="AF32" s="641"/>
      <c r="AG32" s="641"/>
      <c r="AH32" s="641"/>
      <c r="AI32" s="641"/>
      <c r="AJ32" s="641"/>
      <c r="AK32" s="641"/>
      <c r="AL32" s="641"/>
      <c r="AM32" s="641"/>
      <c r="AN32" s="641"/>
      <c r="AO32" s="641"/>
      <c r="AP32" s="641"/>
      <c r="AQ32" s="641"/>
      <c r="AR32" s="641"/>
      <c r="AS32" s="641"/>
      <c r="AT32" s="641"/>
      <c r="AU32" s="641"/>
      <c r="AV32" s="641"/>
      <c r="AW32" s="641"/>
      <c r="AX32" s="641"/>
      <c r="AY32" s="641"/>
      <c r="AZ32" s="641"/>
      <c r="BA32" s="641"/>
      <c r="BB32" s="641"/>
      <c r="BC32" s="641"/>
      <c r="BD32" s="641"/>
      <c r="BE32" s="641"/>
      <c r="BF32" s="641"/>
      <c r="BG32" s="641"/>
      <c r="BH32" s="641"/>
      <c r="BI32" s="641"/>
      <c r="BJ32" s="641"/>
      <c r="BK32" s="641"/>
      <c r="BL32" s="641"/>
      <c r="BM32" s="641"/>
      <c r="BN32" s="641"/>
      <c r="BO32" s="641"/>
      <c r="BP32" s="641"/>
      <c r="BQ32" s="641"/>
      <c r="BR32" s="641"/>
      <c r="BS32" s="641"/>
      <c r="BT32" s="641"/>
      <c r="BU32" s="641"/>
      <c r="BV32" s="641"/>
      <c r="BW32" s="641"/>
      <c r="BX32" s="641"/>
      <c r="BY32" s="641"/>
      <c r="BZ32" s="641"/>
      <c r="CA32" s="641"/>
      <c r="CB32" s="641"/>
      <c r="CC32" s="641"/>
      <c r="CD32" s="641"/>
      <c r="CE32" s="641"/>
      <c r="CF32" s="641"/>
      <c r="CG32" s="641"/>
      <c r="CH32" s="641"/>
      <c r="CI32" s="641"/>
      <c r="CJ32" s="641"/>
      <c r="CK32" s="641"/>
      <c r="CL32" s="641"/>
      <c r="CM32" s="641"/>
      <c r="CN32" s="641"/>
      <c r="CO32" s="641"/>
      <c r="CP32" s="641"/>
      <c r="CQ32" s="641"/>
      <c r="CR32" s="641"/>
      <c r="CS32" s="641"/>
      <c r="CT32" s="641"/>
      <c r="CU32" s="641"/>
      <c r="CV32" s="641"/>
      <c r="CW32" s="641"/>
      <c r="CX32" s="641"/>
      <c r="CY32" s="641"/>
      <c r="CZ32" s="641"/>
      <c r="DA32" s="641"/>
      <c r="DB32" s="641"/>
      <c r="DC32" s="641"/>
      <c r="DD32" s="641"/>
      <c r="DE32" s="641"/>
      <c r="DF32" s="641"/>
      <c r="DG32" s="641"/>
      <c r="DH32" s="641"/>
      <c r="DI32" s="641"/>
      <c r="DJ32" s="641"/>
      <c r="DK32" s="641"/>
      <c r="DL32" s="641"/>
      <c r="DM32" s="641"/>
      <c r="DN32" s="641"/>
      <c r="DO32" s="641"/>
      <c r="DP32" s="641"/>
      <c r="DQ32" s="641"/>
      <c r="DR32" s="641"/>
      <c r="DS32" s="641"/>
      <c r="DT32" s="641"/>
      <c r="DU32" s="641"/>
      <c r="DV32" s="641"/>
      <c r="DW32" s="641"/>
      <c r="DX32" s="641"/>
      <c r="DY32" s="641"/>
      <c r="DZ32" s="641"/>
      <c r="EA32" s="641"/>
      <c r="EB32" s="641"/>
      <c r="EC32" s="641"/>
      <c r="ED32" s="641"/>
      <c r="EE32" s="641"/>
      <c r="EF32" s="641"/>
      <c r="EG32" s="641"/>
      <c r="EH32" s="641"/>
      <c r="EI32" s="641"/>
      <c r="EJ32" s="641"/>
      <c r="EK32" s="641"/>
      <c r="EL32" s="641"/>
      <c r="EM32" s="641"/>
      <c r="EN32" s="641"/>
      <c r="EO32" s="641"/>
      <c r="EP32" s="641"/>
      <c r="EQ32" s="641"/>
      <c r="ER32" s="641"/>
      <c r="ES32" s="641"/>
      <c r="ET32" s="641"/>
      <c r="EU32" s="641"/>
      <c r="EV32" s="641"/>
      <c r="EW32" s="641"/>
      <c r="EX32" s="641"/>
      <c r="EY32" s="641"/>
      <c r="EZ32" s="641"/>
      <c r="FA32" s="641"/>
      <c r="FB32" s="641"/>
      <c r="FC32" s="641"/>
      <c r="FD32" s="641"/>
      <c r="FE32" s="641"/>
      <c r="FF32" s="641"/>
      <c r="FG32" s="641"/>
      <c r="FH32" s="641"/>
      <c r="FI32" s="641"/>
      <c r="FJ32" s="641"/>
      <c r="FK32" s="641"/>
      <c r="FL32" s="641"/>
      <c r="FM32" s="641"/>
      <c r="FN32" s="641"/>
      <c r="FO32" s="641"/>
      <c r="FP32" s="641"/>
      <c r="FQ32" s="641"/>
      <c r="FR32" s="641"/>
      <c r="FS32" s="641"/>
      <c r="FT32" s="641"/>
      <c r="FU32" s="641"/>
      <c r="FV32" s="641"/>
      <c r="FW32" s="641"/>
      <c r="FX32" s="641"/>
      <c r="FY32" s="641"/>
      <c r="FZ32" s="641"/>
      <c r="GA32" s="641"/>
      <c r="GB32" s="641"/>
      <c r="GC32" s="641"/>
      <c r="GD32" s="641"/>
      <c r="GE32" s="641"/>
      <c r="GF32" s="641"/>
      <c r="GG32" s="641"/>
      <c r="GH32" s="641"/>
      <c r="GI32" s="641"/>
      <c r="GJ32" s="641"/>
      <c r="GK32" s="641"/>
      <c r="GL32" s="641"/>
      <c r="GM32" s="641"/>
      <c r="GN32" s="641"/>
      <c r="GO32" s="641"/>
      <c r="GP32" s="641"/>
      <c r="GQ32" s="641"/>
      <c r="GR32" s="641"/>
      <c r="GS32" s="641"/>
      <c r="GT32" s="641"/>
      <c r="GU32" s="641"/>
      <c r="GV32" s="641"/>
      <c r="GW32" s="641"/>
      <c r="GX32" s="641"/>
      <c r="GY32" s="641"/>
      <c r="GZ32" s="641"/>
      <c r="HA32" s="641"/>
      <c r="HB32" s="641"/>
      <c r="HC32" s="641"/>
      <c r="HD32" s="641"/>
      <c r="HE32" s="641"/>
      <c r="HF32" s="641"/>
      <c r="HG32" s="641"/>
      <c r="HH32" s="641"/>
      <c r="HI32" s="641"/>
      <c r="HJ32" s="641"/>
      <c r="HK32" s="641"/>
      <c r="HL32" s="641"/>
      <c r="HM32" s="641"/>
      <c r="HN32" s="641"/>
      <c r="HO32" s="641"/>
      <c r="HP32" s="641"/>
      <c r="HQ32" s="641"/>
      <c r="HR32" s="641"/>
      <c r="HS32" s="641"/>
      <c r="HT32" s="641"/>
      <c r="HU32" s="641"/>
      <c r="HV32" s="641"/>
      <c r="HW32" s="641"/>
      <c r="HX32" s="641"/>
      <c r="HY32" s="641"/>
      <c r="HZ32" s="641"/>
      <c r="IA32" s="641"/>
      <c r="IB32" s="641"/>
      <c r="IC32" s="641"/>
      <c r="ID32" s="641"/>
      <c r="IE32" s="641"/>
      <c r="IF32" s="641"/>
      <c r="IG32" s="641"/>
      <c r="IH32" s="641"/>
      <c r="II32" s="641"/>
      <c r="IJ32" s="641"/>
      <c r="IK32" s="641"/>
      <c r="IL32" s="641"/>
      <c r="IM32" s="641"/>
      <c r="IN32" s="641"/>
      <c r="IO32" s="641"/>
      <c r="IP32" s="641"/>
      <c r="IQ32" s="641"/>
      <c r="IR32" s="641"/>
      <c r="IS32" s="641"/>
      <c r="IT32" s="641"/>
      <c r="IU32" s="641"/>
      <c r="IV32" s="641"/>
      <c r="IW32" s="641"/>
      <c r="IX32" s="641"/>
    </row>
    <row r="33" spans="1:258" s="581" customFormat="1" x14ac:dyDescent="0.25">
      <c r="A33" s="576"/>
      <c r="B33" s="577"/>
      <c r="C33" s="577"/>
      <c r="D33" s="578">
        <f>D32-J32</f>
        <v>2.0000040531158447E-3</v>
      </c>
      <c r="E33" s="579"/>
      <c r="F33" s="946">
        <f>F32-L32</f>
        <v>0</v>
      </c>
      <c r="G33" s="576"/>
      <c r="H33" s="577"/>
      <c r="I33" s="577"/>
      <c r="J33" s="579"/>
      <c r="K33" s="596">
        <f>E32-K32</f>
        <v>1.999974250793457E-3</v>
      </c>
      <c r="L33" s="835">
        <f>F32-L32</f>
        <v>0</v>
      </c>
      <c r="M33" s="580"/>
      <c r="N33" s="580"/>
      <c r="O33" s="577"/>
      <c r="P33" s="576"/>
      <c r="Q33" s="576"/>
      <c r="R33" s="576"/>
      <c r="S33" s="576"/>
      <c r="T33" s="576"/>
      <c r="U33" s="576"/>
      <c r="V33" s="576"/>
      <c r="W33" s="576"/>
      <c r="X33" s="576"/>
      <c r="Y33" s="576"/>
      <c r="Z33" s="576"/>
      <c r="AA33" s="576"/>
      <c r="AB33" s="576"/>
      <c r="AC33" s="576"/>
      <c r="AD33" s="576"/>
      <c r="AE33" s="576"/>
      <c r="AF33" s="576"/>
      <c r="AG33" s="576"/>
      <c r="AH33" s="576"/>
      <c r="AI33" s="576"/>
      <c r="AJ33" s="576"/>
      <c r="AK33" s="576"/>
      <c r="AL33" s="576"/>
      <c r="AM33" s="576"/>
      <c r="AN33" s="576"/>
      <c r="AO33" s="576"/>
      <c r="AP33" s="576"/>
      <c r="AQ33" s="576"/>
      <c r="AR33" s="576"/>
      <c r="AS33" s="576"/>
      <c r="AT33" s="576"/>
      <c r="AU33" s="576"/>
      <c r="AV33" s="576"/>
      <c r="AW33" s="576"/>
      <c r="AX33" s="576"/>
      <c r="AY33" s="576"/>
      <c r="AZ33" s="576"/>
      <c r="BA33" s="576"/>
      <c r="BB33" s="576"/>
      <c r="BC33" s="576"/>
      <c r="BD33" s="576"/>
      <c r="BE33" s="576"/>
      <c r="BF33" s="576"/>
      <c r="BG33" s="576"/>
      <c r="BH33" s="576"/>
      <c r="BI33" s="576"/>
      <c r="BJ33" s="576"/>
      <c r="BK33" s="576"/>
      <c r="BL33" s="576"/>
      <c r="BM33" s="576"/>
      <c r="BN33" s="576"/>
      <c r="BO33" s="576"/>
      <c r="BP33" s="576"/>
      <c r="BQ33" s="576"/>
      <c r="BR33" s="576"/>
      <c r="BS33" s="576"/>
      <c r="BT33" s="576"/>
      <c r="BU33" s="576"/>
      <c r="BV33" s="576"/>
      <c r="BW33" s="576"/>
      <c r="BX33" s="576"/>
      <c r="BY33" s="576"/>
      <c r="BZ33" s="576"/>
      <c r="CA33" s="576"/>
      <c r="CB33" s="576"/>
      <c r="CC33" s="576"/>
      <c r="CD33" s="576"/>
      <c r="CE33" s="576"/>
      <c r="CF33" s="576"/>
      <c r="CG33" s="576"/>
      <c r="CH33" s="576"/>
      <c r="CI33" s="576"/>
      <c r="CJ33" s="576"/>
      <c r="CK33" s="576"/>
      <c r="CL33" s="576"/>
      <c r="CM33" s="576"/>
      <c r="CN33" s="576"/>
      <c r="CO33" s="576"/>
      <c r="CP33" s="576"/>
      <c r="CQ33" s="576"/>
      <c r="CR33" s="576"/>
      <c r="CS33" s="576"/>
      <c r="CT33" s="576"/>
      <c r="CU33" s="576"/>
      <c r="CV33" s="576"/>
      <c r="CW33" s="576"/>
      <c r="CX33" s="576"/>
      <c r="CY33" s="576"/>
      <c r="CZ33" s="576"/>
      <c r="DA33" s="576"/>
      <c r="DB33" s="576"/>
      <c r="DC33" s="576"/>
      <c r="DD33" s="576"/>
      <c r="DE33" s="576"/>
      <c r="DF33" s="576"/>
      <c r="DG33" s="576"/>
      <c r="DH33" s="576"/>
      <c r="DI33" s="576"/>
      <c r="DJ33" s="576"/>
      <c r="DK33" s="576"/>
      <c r="DL33" s="576"/>
      <c r="DM33" s="576"/>
      <c r="DN33" s="576"/>
      <c r="DO33" s="576"/>
      <c r="DP33" s="576"/>
      <c r="DQ33" s="576"/>
      <c r="DR33" s="576"/>
      <c r="DS33" s="576"/>
      <c r="DT33" s="576"/>
      <c r="DU33" s="576"/>
      <c r="DV33" s="576"/>
      <c r="DW33" s="576"/>
      <c r="DX33" s="576"/>
      <c r="DY33" s="576"/>
      <c r="DZ33" s="576"/>
      <c r="EA33" s="576"/>
      <c r="EB33" s="576"/>
      <c r="EC33" s="576"/>
      <c r="ED33" s="576"/>
      <c r="EE33" s="576"/>
      <c r="EF33" s="576"/>
      <c r="EG33" s="576"/>
      <c r="EH33" s="576"/>
      <c r="EI33" s="576"/>
      <c r="EJ33" s="576"/>
      <c r="EK33" s="576"/>
      <c r="EL33" s="576"/>
      <c r="EM33" s="576"/>
      <c r="EN33" s="576"/>
      <c r="EO33" s="576"/>
      <c r="EP33" s="576"/>
      <c r="EQ33" s="576"/>
      <c r="ER33" s="576"/>
      <c r="ES33" s="576"/>
      <c r="ET33" s="576"/>
      <c r="EU33" s="576"/>
      <c r="EV33" s="576"/>
      <c r="EW33" s="576"/>
      <c r="EX33" s="576"/>
      <c r="EY33" s="576"/>
      <c r="EZ33" s="576"/>
      <c r="FA33" s="576"/>
      <c r="FB33" s="576"/>
      <c r="FC33" s="576"/>
      <c r="FD33" s="576"/>
      <c r="FE33" s="576"/>
      <c r="FF33" s="576"/>
      <c r="FG33" s="576"/>
      <c r="FH33" s="576"/>
      <c r="FI33" s="576"/>
      <c r="FJ33" s="576"/>
      <c r="FK33" s="576"/>
      <c r="FL33" s="576"/>
      <c r="FM33" s="576"/>
      <c r="FN33" s="576"/>
      <c r="FO33" s="576"/>
      <c r="FP33" s="576"/>
      <c r="FQ33" s="576"/>
      <c r="FR33" s="576"/>
      <c r="FS33" s="576"/>
      <c r="FT33" s="576"/>
      <c r="FU33" s="576"/>
      <c r="FV33" s="576"/>
      <c r="FW33" s="576"/>
      <c r="FX33" s="576"/>
      <c r="FY33" s="576"/>
      <c r="FZ33" s="576"/>
      <c r="GA33" s="576"/>
      <c r="GB33" s="576"/>
      <c r="GC33" s="576"/>
      <c r="GD33" s="576"/>
      <c r="GE33" s="576"/>
      <c r="GF33" s="576"/>
      <c r="GG33" s="576"/>
      <c r="GH33" s="576"/>
      <c r="GI33" s="576"/>
      <c r="GJ33" s="576"/>
      <c r="GK33" s="576"/>
      <c r="GL33" s="576"/>
      <c r="GM33" s="576"/>
      <c r="GN33" s="576"/>
      <c r="GO33" s="576"/>
      <c r="GP33" s="576"/>
      <c r="GQ33" s="576"/>
      <c r="GR33" s="576"/>
      <c r="GS33" s="576"/>
      <c r="GT33" s="576"/>
      <c r="GU33" s="576"/>
      <c r="GV33" s="576"/>
      <c r="GW33" s="576"/>
      <c r="GX33" s="576"/>
      <c r="GY33" s="576"/>
      <c r="GZ33" s="576"/>
      <c r="HA33" s="576"/>
      <c r="HB33" s="576"/>
      <c r="HC33" s="576"/>
      <c r="HD33" s="576"/>
      <c r="HE33" s="576"/>
      <c r="HF33" s="576"/>
      <c r="HG33" s="576"/>
      <c r="HH33" s="576"/>
      <c r="HI33" s="576"/>
      <c r="HJ33" s="576"/>
      <c r="HK33" s="576"/>
      <c r="HL33" s="576"/>
      <c r="HM33" s="576"/>
      <c r="HN33" s="576"/>
      <c r="HO33" s="576"/>
      <c r="HP33" s="576"/>
      <c r="HQ33" s="576"/>
      <c r="HR33" s="576"/>
      <c r="HS33" s="576"/>
      <c r="HT33" s="576"/>
      <c r="HU33" s="576"/>
      <c r="HV33" s="576"/>
      <c r="HW33" s="576"/>
      <c r="HX33" s="576"/>
      <c r="HY33" s="576"/>
      <c r="HZ33" s="576"/>
      <c r="IA33" s="576"/>
      <c r="IB33" s="576"/>
      <c r="IC33" s="576"/>
      <c r="ID33" s="576"/>
      <c r="IE33" s="576"/>
      <c r="IF33" s="576"/>
      <c r="IG33" s="576"/>
      <c r="IH33" s="576"/>
      <c r="II33" s="576"/>
      <c r="IJ33" s="576"/>
      <c r="IK33" s="576"/>
      <c r="IL33" s="576"/>
      <c r="IM33" s="576"/>
      <c r="IN33" s="576"/>
      <c r="IO33" s="576"/>
      <c r="IP33" s="576"/>
      <c r="IQ33" s="576"/>
      <c r="IR33" s="576"/>
      <c r="IS33" s="576"/>
      <c r="IT33" s="576"/>
      <c r="IU33" s="576"/>
      <c r="IV33" s="576"/>
      <c r="IW33" s="576"/>
      <c r="IX33" s="576"/>
    </row>
    <row r="34" spans="1:258" x14ac:dyDescent="0.25">
      <c r="B34" s="125"/>
      <c r="C34" s="125"/>
      <c r="D34" s="244"/>
      <c r="E34" s="548"/>
      <c r="F34" s="853"/>
      <c r="I34" s="125" t="str">
        <f>'LAPORAN LABA'!D63</f>
        <v>Balongbesuk, 15 Januari 2025</v>
      </c>
      <c r="J34" s="167" t="str">
        <f>'PERUBAHAN MODAL'!D24</f>
        <v>Balongbesuk, 15 Januari 2025</v>
      </c>
      <c r="K34" s="167"/>
      <c r="L34" s="167"/>
      <c r="M34" s="125"/>
      <c r="N34" s="129"/>
      <c r="O34" s="125"/>
    </row>
    <row r="35" spans="1:258" x14ac:dyDescent="0.25">
      <c r="A35" s="176"/>
      <c r="B35" s="125"/>
      <c r="C35" s="378" t="s">
        <v>127</v>
      </c>
      <c r="D35" s="460"/>
      <c r="E35" s="460" t="s">
        <v>538</v>
      </c>
      <c r="F35" s="852"/>
      <c r="H35" s="177"/>
      <c r="I35" s="177" t="s">
        <v>125</v>
      </c>
      <c r="J35" s="177" t="s">
        <v>126</v>
      </c>
      <c r="K35" s="125"/>
      <c r="L35" s="167"/>
      <c r="M35" s="183"/>
      <c r="N35" s="129"/>
      <c r="O35" s="183"/>
      <c r="P35" s="176"/>
      <c r="Q35" s="176"/>
      <c r="R35" s="176"/>
      <c r="S35" s="176"/>
      <c r="T35" s="176"/>
      <c r="U35" s="176"/>
      <c r="V35" s="176"/>
      <c r="W35" s="176"/>
      <c r="X35" s="176"/>
      <c r="Y35" s="176"/>
      <c r="Z35" s="176"/>
      <c r="AA35" s="176"/>
      <c r="AB35" s="176"/>
      <c r="AC35" s="176"/>
      <c r="AD35" s="176"/>
      <c r="AE35" s="176"/>
      <c r="AF35" s="176"/>
      <c r="AG35" s="176"/>
      <c r="AH35" s="176"/>
      <c r="AI35" s="176"/>
      <c r="AJ35" s="176"/>
      <c r="AK35" s="176"/>
      <c r="AL35" s="176"/>
      <c r="AM35" s="176"/>
      <c r="AN35" s="176"/>
      <c r="AO35" s="176"/>
      <c r="AP35" s="176"/>
      <c r="AQ35" s="176"/>
      <c r="AR35" s="176"/>
      <c r="AS35" s="176"/>
      <c r="AT35" s="176"/>
      <c r="AU35" s="176"/>
      <c r="AV35" s="176"/>
      <c r="AW35" s="176"/>
      <c r="AX35" s="176"/>
      <c r="AY35" s="176"/>
      <c r="AZ35" s="176"/>
      <c r="BA35" s="176"/>
      <c r="BB35" s="176"/>
      <c r="BC35" s="176"/>
      <c r="BD35" s="176"/>
      <c r="BE35" s="176"/>
      <c r="BF35" s="176"/>
      <c r="BG35" s="176"/>
      <c r="BH35" s="176"/>
      <c r="BI35" s="176"/>
      <c r="BJ35" s="176"/>
      <c r="BK35" s="176"/>
      <c r="BL35" s="176"/>
      <c r="BM35" s="176"/>
      <c r="BN35" s="176"/>
      <c r="BO35" s="176"/>
      <c r="BP35" s="176"/>
      <c r="BQ35" s="176"/>
      <c r="BR35" s="176"/>
      <c r="BS35" s="176"/>
      <c r="BT35" s="176"/>
      <c r="BU35" s="176"/>
      <c r="BV35" s="176"/>
      <c r="BW35" s="176"/>
      <c r="BX35" s="176"/>
      <c r="BY35" s="176"/>
      <c r="BZ35" s="176"/>
      <c r="CA35" s="176"/>
      <c r="CB35" s="176"/>
      <c r="CC35" s="176"/>
      <c r="CD35" s="176"/>
      <c r="CE35" s="176"/>
      <c r="CF35" s="176"/>
      <c r="CG35" s="176"/>
      <c r="CH35" s="176"/>
      <c r="CI35" s="176"/>
      <c r="CJ35" s="176"/>
      <c r="CK35" s="176"/>
      <c r="CL35" s="176"/>
      <c r="CM35" s="176"/>
      <c r="CN35" s="176"/>
      <c r="CO35" s="176"/>
      <c r="CP35" s="176"/>
      <c r="CQ35" s="176"/>
      <c r="CR35" s="176"/>
      <c r="CS35" s="176"/>
      <c r="CT35" s="176"/>
      <c r="CU35" s="176"/>
      <c r="CV35" s="176"/>
      <c r="CW35" s="176"/>
      <c r="CX35" s="176"/>
      <c r="CY35" s="176"/>
      <c r="CZ35" s="176"/>
      <c r="DA35" s="176"/>
      <c r="DB35" s="176"/>
      <c r="DC35" s="176"/>
      <c r="DD35" s="176"/>
      <c r="DE35" s="176"/>
      <c r="DF35" s="176"/>
      <c r="DG35" s="176"/>
      <c r="DH35" s="176"/>
      <c r="DI35" s="176"/>
      <c r="DJ35" s="176"/>
      <c r="DK35" s="176"/>
      <c r="DL35" s="176"/>
      <c r="DM35" s="176"/>
      <c r="DN35" s="176"/>
      <c r="DO35" s="176"/>
      <c r="DP35" s="176"/>
      <c r="DQ35" s="176"/>
      <c r="DR35" s="176"/>
      <c r="DS35" s="176"/>
      <c r="DT35" s="176"/>
      <c r="DU35" s="176"/>
      <c r="DV35" s="176"/>
      <c r="DW35" s="176"/>
      <c r="DX35" s="176"/>
      <c r="DY35" s="176"/>
      <c r="DZ35" s="176"/>
      <c r="EA35" s="176"/>
      <c r="EB35" s="176"/>
      <c r="EC35" s="176"/>
      <c r="ED35" s="176"/>
      <c r="EE35" s="176"/>
      <c r="EF35" s="176"/>
      <c r="EG35" s="176"/>
      <c r="EH35" s="176"/>
      <c r="EI35" s="176"/>
      <c r="EJ35" s="176"/>
      <c r="EK35" s="176"/>
      <c r="EL35" s="176"/>
      <c r="EM35" s="176"/>
      <c r="EN35" s="176"/>
      <c r="EO35" s="176"/>
      <c r="EP35" s="176"/>
      <c r="EQ35" s="176"/>
      <c r="ER35" s="176"/>
      <c r="ES35" s="176"/>
      <c r="ET35" s="176"/>
      <c r="EU35" s="176"/>
      <c r="EV35" s="176"/>
      <c r="EW35" s="176"/>
      <c r="EX35" s="176"/>
      <c r="EY35" s="176"/>
      <c r="EZ35" s="176"/>
      <c r="FA35" s="176"/>
      <c r="FB35" s="176"/>
      <c r="FC35" s="176"/>
      <c r="FD35" s="176"/>
      <c r="FE35" s="176"/>
      <c r="FF35" s="176"/>
      <c r="FG35" s="176"/>
      <c r="FH35" s="176"/>
      <c r="FI35" s="176"/>
      <c r="FJ35" s="176"/>
      <c r="FK35" s="176"/>
      <c r="FL35" s="176"/>
      <c r="FM35" s="176"/>
      <c r="FN35" s="176"/>
      <c r="FO35" s="176"/>
      <c r="FP35" s="176"/>
      <c r="FQ35" s="176"/>
      <c r="FR35" s="176"/>
      <c r="FS35" s="176"/>
      <c r="FT35" s="176"/>
      <c r="FU35" s="176"/>
      <c r="FV35" s="176"/>
      <c r="FW35" s="176"/>
      <c r="FX35" s="176"/>
      <c r="FY35" s="176"/>
      <c r="FZ35" s="176"/>
      <c r="GA35" s="176"/>
      <c r="GB35" s="176"/>
      <c r="GC35" s="176"/>
      <c r="GD35" s="176"/>
      <c r="GE35" s="176"/>
      <c r="GF35" s="176"/>
      <c r="GG35" s="176"/>
      <c r="GH35" s="176"/>
      <c r="GI35" s="176"/>
      <c r="GJ35" s="176"/>
      <c r="GK35" s="176"/>
      <c r="GL35" s="176"/>
      <c r="GM35" s="176"/>
      <c r="GN35" s="176"/>
      <c r="GO35" s="176"/>
      <c r="GP35" s="176"/>
      <c r="GQ35" s="176"/>
      <c r="GR35" s="176"/>
      <c r="GS35" s="176"/>
      <c r="GT35" s="176"/>
      <c r="GU35" s="176"/>
      <c r="GV35" s="176"/>
      <c r="GW35" s="176"/>
      <c r="GX35" s="176"/>
      <c r="GY35" s="176"/>
      <c r="GZ35" s="176"/>
      <c r="HA35" s="176"/>
      <c r="HB35" s="176"/>
      <c r="HC35" s="176"/>
      <c r="HD35" s="176"/>
      <c r="HE35" s="176"/>
      <c r="HF35" s="176"/>
      <c r="HG35" s="176"/>
      <c r="HH35" s="176"/>
      <c r="HI35" s="176"/>
      <c r="HJ35" s="176"/>
      <c r="HK35" s="176"/>
      <c r="HL35" s="176"/>
      <c r="HM35" s="176"/>
      <c r="HN35" s="176"/>
      <c r="HO35" s="176"/>
      <c r="HP35" s="176"/>
      <c r="HQ35" s="176"/>
      <c r="HR35" s="176"/>
      <c r="HS35" s="176"/>
      <c r="HT35" s="176"/>
      <c r="HU35" s="176"/>
      <c r="HV35" s="176"/>
      <c r="HW35" s="176"/>
      <c r="HX35" s="176"/>
      <c r="HY35" s="176"/>
      <c r="HZ35" s="176"/>
      <c r="IA35" s="176"/>
      <c r="IB35" s="176"/>
      <c r="IC35" s="176"/>
      <c r="ID35" s="176"/>
      <c r="IE35" s="176"/>
      <c r="IF35" s="176"/>
      <c r="IG35" s="176"/>
      <c r="IH35" s="176"/>
      <c r="II35" s="176"/>
      <c r="IJ35" s="176"/>
      <c r="IK35" s="176"/>
      <c r="IL35" s="176"/>
      <c r="IM35" s="176"/>
      <c r="IN35" s="176"/>
      <c r="IO35" s="176"/>
      <c r="IP35" s="176"/>
      <c r="IQ35" s="176"/>
      <c r="IR35" s="176"/>
      <c r="IS35" s="176"/>
      <c r="IT35" s="176"/>
      <c r="IU35" s="176"/>
      <c r="IV35" s="176"/>
      <c r="IW35" s="176"/>
      <c r="IX35" s="176"/>
    </row>
    <row r="36" spans="1:258" x14ac:dyDescent="0.25">
      <c r="B36" s="183"/>
      <c r="C36" s="183"/>
      <c r="D36" s="177"/>
      <c r="E36" s="176"/>
      <c r="I36" s="176"/>
      <c r="J36" s="177"/>
      <c r="K36" s="183"/>
      <c r="L36" s="183"/>
      <c r="M36" s="129"/>
      <c r="N36" s="129"/>
      <c r="O36" s="125"/>
    </row>
    <row r="37" spans="1:258" x14ac:dyDescent="0.25">
      <c r="B37" s="125"/>
      <c r="C37" s="125"/>
      <c r="G37" s="175"/>
      <c r="I37" s="176"/>
      <c r="K37" s="125"/>
      <c r="L37" s="183"/>
      <c r="M37" s="129"/>
      <c r="N37" s="227"/>
      <c r="O37" s="125"/>
    </row>
    <row r="38" spans="1:258" x14ac:dyDescent="0.25">
      <c r="B38" s="245"/>
      <c r="C38" s="245"/>
      <c r="G38" s="175"/>
      <c r="I38" s="176"/>
      <c r="K38" s="245"/>
      <c r="L38" s="245"/>
      <c r="M38" s="125"/>
      <c r="N38" s="129"/>
      <c r="O38" s="125"/>
    </row>
    <row r="39" spans="1:258" ht="17.25" x14ac:dyDescent="0.25">
      <c r="B39" s="125"/>
      <c r="C39" s="461" t="s">
        <v>707</v>
      </c>
      <c r="D39" s="178"/>
      <c r="E39" s="461" t="str">
        <f>'PERUBAHAN MODAL'!C37</f>
        <v>MOCHAMAD SAIFUR</v>
      </c>
      <c r="G39" s="175"/>
      <c r="H39" s="561"/>
      <c r="I39" s="561" t="s">
        <v>706</v>
      </c>
      <c r="J39" s="179" t="str">
        <f>'PERUBAHAN MODAL'!D29</f>
        <v>MAMIK KURNIAWATI</v>
      </c>
      <c r="K39" s="125"/>
      <c r="L39" s="183"/>
      <c r="M39" s="125"/>
      <c r="N39" s="129"/>
      <c r="O39" s="125"/>
    </row>
    <row r="40" spans="1:258" x14ac:dyDescent="0.25">
      <c r="B40" s="125"/>
      <c r="C40" s="125" t="str">
        <f>'PERUBAHAN MODAL'!A33</f>
        <v>Badan Pengawas</v>
      </c>
      <c r="D40" s="175"/>
      <c r="E40" s="183" t="str">
        <f>'PERUBAHAN MODAL'!C33</f>
        <v>Kepala Desa Balongbesuk</v>
      </c>
      <c r="H40" s="175"/>
      <c r="I40" s="177" t="s">
        <v>232</v>
      </c>
      <c r="J40" s="177" t="str">
        <f>'PERUBAHAN MODAL'!D30</f>
        <v>Bendahara BUMDesa "BAROKAH"</v>
      </c>
      <c r="K40" s="125"/>
      <c r="L40" s="183"/>
      <c r="M40" s="125"/>
      <c r="N40" s="129"/>
      <c r="O40" s="125"/>
    </row>
    <row r="41" spans="1:258" x14ac:dyDescent="0.25">
      <c r="B41" s="125"/>
      <c r="C41" s="125"/>
      <c r="D41" s="178"/>
      <c r="H41" s="175"/>
      <c r="J41" s="179"/>
      <c r="K41" s="125"/>
      <c r="L41" s="183"/>
      <c r="M41" s="125"/>
      <c r="N41" s="125"/>
      <c r="O41" s="125"/>
    </row>
    <row r="42" spans="1:258" x14ac:dyDescent="0.25">
      <c r="C42" s="175"/>
      <c r="D42" s="175"/>
      <c r="G42" s="178"/>
      <c r="K42" s="125"/>
      <c r="L42" s="183"/>
      <c r="M42" s="129"/>
      <c r="N42" s="125"/>
      <c r="O42" s="125"/>
    </row>
    <row r="43" spans="1:258" x14ac:dyDescent="0.25">
      <c r="C43" s="175"/>
      <c r="D43" s="175"/>
      <c r="G43" s="247"/>
      <c r="K43" s="125"/>
      <c r="L43" s="183"/>
      <c r="M43" s="129"/>
      <c r="N43" s="125"/>
      <c r="O43" s="125"/>
    </row>
    <row r="44" spans="1:258" x14ac:dyDescent="0.25">
      <c r="C44" s="175"/>
      <c r="D44" s="175"/>
      <c r="F44" s="854"/>
      <c r="H44" s="178"/>
      <c r="K44" s="125"/>
      <c r="L44" s="183"/>
      <c r="M44" s="129"/>
      <c r="N44" s="125"/>
      <c r="O44" s="125"/>
    </row>
    <row r="45" spans="1:258" x14ac:dyDescent="0.25">
      <c r="F45" s="854"/>
      <c r="H45" s="247"/>
      <c r="K45" s="125"/>
      <c r="L45" s="183"/>
      <c r="M45" s="129"/>
      <c r="N45" s="125"/>
      <c r="O45" s="125"/>
    </row>
    <row r="46" spans="1:258" x14ac:dyDescent="0.25">
      <c r="K46" s="125"/>
      <c r="L46" s="183"/>
      <c r="M46" s="125"/>
      <c r="N46" s="125"/>
      <c r="O46" s="125"/>
    </row>
    <row r="47" spans="1:258" ht="33" customHeight="1" x14ac:dyDescent="0.25">
      <c r="C47" s="178"/>
      <c r="D47" s="178"/>
      <c r="K47" s="125"/>
      <c r="L47" s="183"/>
      <c r="M47" s="247"/>
      <c r="N47" s="247"/>
      <c r="O47" s="247"/>
    </row>
    <row r="48" spans="1:258" x14ac:dyDescent="0.25">
      <c r="B48" s="246"/>
      <c r="C48" s="247"/>
      <c r="D48" s="247"/>
      <c r="E48" s="247"/>
      <c r="F48" s="855"/>
      <c r="I48" s="247"/>
      <c r="J48" s="247"/>
      <c r="K48" s="247"/>
      <c r="L48" s="247"/>
    </row>
  </sheetData>
  <mergeCells count="4">
    <mergeCell ref="B5:L5"/>
    <mergeCell ref="B4:L4"/>
    <mergeCell ref="B2:L2"/>
    <mergeCell ref="B1:L1"/>
  </mergeCells>
  <pageMargins left="0.8" right="0.39370078740157499" top="0.83" bottom="0.5" header="0.31496062992126" footer="0.31496062992126"/>
  <pageSetup paperSize="9" scale="73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IV37"/>
  <sheetViews>
    <sheetView view="pageBreakPreview" topLeftCell="A28" zoomScale="184" zoomScaleNormal="100" zoomScaleSheetLayoutView="184" workbookViewId="0">
      <selection activeCell="D7" sqref="D7"/>
    </sheetView>
  </sheetViews>
  <sheetFormatPr defaultColWidth="9" defaultRowHeight="15" x14ac:dyDescent="0.25"/>
  <cols>
    <col min="1" max="1" width="5.140625" style="123" customWidth="1"/>
    <col min="2" max="2" width="43.7109375" style="123" customWidth="1"/>
    <col min="3" max="3" width="9.140625" style="123" customWidth="1"/>
    <col min="4" max="4" width="23.7109375" style="123" customWidth="1"/>
    <col min="5" max="5" width="6.28515625" style="546" customWidth="1"/>
    <col min="6" max="256" width="9.140625" style="123" customWidth="1"/>
    <col min="257" max="257" width="9" customWidth="1"/>
  </cols>
  <sheetData>
    <row r="1" spans="1:9" ht="18.75" x14ac:dyDescent="0.3">
      <c r="A1" s="914" t="s">
        <v>206</v>
      </c>
      <c r="B1" s="914"/>
      <c r="C1" s="914"/>
      <c r="D1" s="914"/>
      <c r="E1" s="914"/>
      <c r="F1" s="182"/>
      <c r="G1" s="182"/>
      <c r="H1" s="182"/>
      <c r="I1" s="182"/>
    </row>
    <row r="2" spans="1:9" ht="18.75" x14ac:dyDescent="0.3">
      <c r="A2" s="914" t="s">
        <v>207</v>
      </c>
      <c r="B2" s="914"/>
      <c r="C2" s="914"/>
      <c r="D2" s="914"/>
      <c r="E2" s="914"/>
      <c r="F2" s="182"/>
      <c r="G2" s="182"/>
      <c r="H2" s="182"/>
      <c r="I2" s="182"/>
    </row>
    <row r="3" spans="1:9" ht="18.75" x14ac:dyDescent="0.3">
      <c r="A3" s="914" t="s">
        <v>129</v>
      </c>
      <c r="B3" s="914"/>
      <c r="C3" s="914"/>
      <c r="D3" s="914"/>
      <c r="E3" s="914"/>
      <c r="F3" s="182"/>
      <c r="G3" s="182"/>
      <c r="H3" s="182"/>
      <c r="I3" s="182"/>
    </row>
    <row r="4" spans="1:9" x14ac:dyDescent="0.25">
      <c r="A4" s="916" t="str">
        <f>NERACA!B5</f>
        <v>S/D 31 DESEMBER 2025</v>
      </c>
      <c r="B4" s="917"/>
      <c r="C4" s="917"/>
      <c r="D4" s="917"/>
      <c r="E4" s="917"/>
      <c r="F4" s="183"/>
    </row>
    <row r="6" spans="1:9" x14ac:dyDescent="0.25">
      <c r="A6" s="184"/>
      <c r="B6" s="156"/>
      <c r="C6" s="156"/>
      <c r="D6" s="156"/>
      <c r="E6" s="542"/>
    </row>
    <row r="7" spans="1:9" x14ac:dyDescent="0.25">
      <c r="A7" s="185" t="s">
        <v>130</v>
      </c>
      <c r="B7" s="125"/>
      <c r="C7" s="125"/>
      <c r="D7" s="186"/>
      <c r="E7" s="543"/>
    </row>
    <row r="8" spans="1:9" x14ac:dyDescent="0.25">
      <c r="A8" s="127">
        <v>1</v>
      </c>
      <c r="B8" s="378" t="s">
        <v>745</v>
      </c>
      <c r="C8" s="129" t="s">
        <v>105</v>
      </c>
      <c r="D8" s="187">
        <f>NERACA!K29</f>
        <v>124702182.5405</v>
      </c>
      <c r="E8" s="544"/>
    </row>
    <row r="9" spans="1:9" x14ac:dyDescent="0.25">
      <c r="A9" s="127">
        <v>2</v>
      </c>
      <c r="B9" s="128" t="s">
        <v>131</v>
      </c>
      <c r="C9" s="129" t="s">
        <v>105</v>
      </c>
      <c r="D9" s="187">
        <v>0</v>
      </c>
      <c r="E9" s="543"/>
    </row>
    <row r="10" spans="1:9" x14ac:dyDescent="0.25">
      <c r="A10" s="127"/>
      <c r="B10" s="188" t="s">
        <v>132</v>
      </c>
      <c r="C10" s="188" t="s">
        <v>105</v>
      </c>
      <c r="D10" s="189">
        <f>SUM(D8:D9)</f>
        <v>124702182.5405</v>
      </c>
      <c r="E10" s="543"/>
    </row>
    <row r="11" spans="1:9" x14ac:dyDescent="0.25">
      <c r="A11" s="127"/>
      <c r="B11" s="188"/>
      <c r="C11" s="188"/>
      <c r="D11" s="190"/>
      <c r="E11" s="543"/>
    </row>
    <row r="12" spans="1:9" x14ac:dyDescent="0.25">
      <c r="A12" s="314" t="s">
        <v>410</v>
      </c>
      <c r="B12" s="125"/>
      <c r="C12" s="125"/>
      <c r="D12" s="125"/>
      <c r="E12" s="543"/>
    </row>
    <row r="13" spans="1:9" x14ac:dyDescent="0.25">
      <c r="A13" s="127">
        <v>1</v>
      </c>
      <c r="B13" s="128" t="s">
        <v>133</v>
      </c>
      <c r="C13" s="129" t="s">
        <v>105</v>
      </c>
      <c r="D13" s="187">
        <f>bumdes!E101</f>
        <v>216700000</v>
      </c>
      <c r="E13" s="543"/>
    </row>
    <row r="14" spans="1:9" x14ac:dyDescent="0.25">
      <c r="A14" s="127">
        <v>2</v>
      </c>
      <c r="B14" s="128" t="s">
        <v>131</v>
      </c>
      <c r="C14" s="129" t="s">
        <v>105</v>
      </c>
      <c r="D14" s="187">
        <v>0</v>
      </c>
      <c r="E14" s="543"/>
    </row>
    <row r="15" spans="1:9" x14ac:dyDescent="0.25">
      <c r="A15" s="127"/>
      <c r="B15" s="188" t="s">
        <v>132</v>
      </c>
      <c r="C15" s="188" t="s">
        <v>105</v>
      </c>
      <c r="D15" s="192">
        <f>SUM(D13:D14)</f>
        <v>216700000</v>
      </c>
      <c r="E15" s="543"/>
    </row>
    <row r="16" spans="1:9" x14ac:dyDescent="0.25">
      <c r="A16" s="127"/>
      <c r="B16" s="125"/>
      <c r="C16" s="125"/>
      <c r="D16" s="125"/>
      <c r="E16" s="543"/>
    </row>
    <row r="17" spans="1:256" x14ac:dyDescent="0.25">
      <c r="A17" s="185" t="s">
        <v>743</v>
      </c>
      <c r="B17" s="183"/>
      <c r="C17" s="129" t="s">
        <v>105</v>
      </c>
      <c r="D17" s="191">
        <f>'LAPORAN LABA'!G58</f>
        <v>5933831.2111250162</v>
      </c>
      <c r="E17" s="543"/>
      <c r="F17" s="176"/>
      <c r="G17" s="176"/>
      <c r="H17" s="176"/>
      <c r="I17" s="176"/>
      <c r="J17" s="176"/>
      <c r="K17" s="176"/>
      <c r="L17" s="176"/>
      <c r="M17" s="176"/>
      <c r="N17" s="176"/>
      <c r="O17" s="176"/>
      <c r="P17" s="176"/>
      <c r="Q17" s="176"/>
      <c r="R17" s="176"/>
      <c r="S17" s="176"/>
      <c r="T17" s="176"/>
      <c r="U17" s="176"/>
      <c r="V17" s="176"/>
      <c r="W17" s="176"/>
      <c r="X17" s="176"/>
      <c r="Y17" s="176"/>
      <c r="Z17" s="176"/>
      <c r="AA17" s="176"/>
      <c r="AB17" s="176"/>
      <c r="AC17" s="176"/>
      <c r="AD17" s="176"/>
      <c r="AE17" s="176"/>
      <c r="AF17" s="176"/>
      <c r="AG17" s="176"/>
      <c r="AH17" s="176"/>
      <c r="AI17" s="176"/>
      <c r="AJ17" s="176"/>
      <c r="AK17" s="176"/>
      <c r="AL17" s="176"/>
      <c r="AM17" s="176"/>
      <c r="AN17" s="176"/>
      <c r="AO17" s="176"/>
      <c r="AP17" s="176"/>
      <c r="AQ17" s="176"/>
      <c r="AR17" s="176"/>
      <c r="AS17" s="176"/>
      <c r="AT17" s="176"/>
      <c r="AU17" s="176"/>
      <c r="AV17" s="176"/>
      <c r="AW17" s="176"/>
      <c r="AX17" s="176"/>
      <c r="AY17" s="176"/>
      <c r="AZ17" s="176"/>
      <c r="BA17" s="176"/>
      <c r="BB17" s="176"/>
      <c r="BC17" s="176"/>
      <c r="BD17" s="176"/>
      <c r="BE17" s="176"/>
      <c r="BF17" s="176"/>
      <c r="BG17" s="176"/>
      <c r="BH17" s="176"/>
      <c r="BI17" s="176"/>
      <c r="BJ17" s="176"/>
      <c r="BK17" s="176"/>
      <c r="BL17" s="176"/>
      <c r="BM17" s="176"/>
      <c r="BN17" s="176"/>
      <c r="BO17" s="176"/>
      <c r="BP17" s="176"/>
      <c r="BQ17" s="176"/>
      <c r="BR17" s="176"/>
      <c r="BS17" s="176"/>
      <c r="BT17" s="176"/>
      <c r="BU17" s="176"/>
      <c r="BV17" s="176"/>
      <c r="BW17" s="176"/>
      <c r="BX17" s="176"/>
      <c r="BY17" s="176"/>
      <c r="BZ17" s="176"/>
      <c r="CA17" s="176"/>
      <c r="CB17" s="176"/>
      <c r="CC17" s="176"/>
      <c r="CD17" s="176"/>
      <c r="CE17" s="176"/>
      <c r="CF17" s="176"/>
      <c r="CG17" s="176"/>
      <c r="CH17" s="176"/>
      <c r="CI17" s="176"/>
      <c r="CJ17" s="176"/>
      <c r="CK17" s="176"/>
      <c r="CL17" s="176"/>
      <c r="CM17" s="176"/>
      <c r="CN17" s="176"/>
      <c r="CO17" s="176"/>
      <c r="CP17" s="176"/>
      <c r="CQ17" s="176"/>
      <c r="CR17" s="176"/>
      <c r="CS17" s="176"/>
      <c r="CT17" s="176"/>
      <c r="CU17" s="176"/>
      <c r="CV17" s="176"/>
      <c r="CW17" s="176"/>
      <c r="CX17" s="176"/>
      <c r="CY17" s="176"/>
      <c r="CZ17" s="176"/>
      <c r="DA17" s="176"/>
      <c r="DB17" s="176"/>
      <c r="DC17" s="176"/>
      <c r="DD17" s="176"/>
      <c r="DE17" s="176"/>
      <c r="DF17" s="176"/>
      <c r="DG17" s="176"/>
      <c r="DH17" s="176"/>
      <c r="DI17" s="176"/>
      <c r="DJ17" s="176"/>
      <c r="DK17" s="176"/>
      <c r="DL17" s="176"/>
      <c r="DM17" s="176"/>
      <c r="DN17" s="176"/>
      <c r="DO17" s="176"/>
      <c r="DP17" s="176"/>
      <c r="DQ17" s="176"/>
      <c r="DR17" s="176"/>
      <c r="DS17" s="176"/>
      <c r="DT17" s="176"/>
      <c r="DU17" s="176"/>
      <c r="DV17" s="176"/>
      <c r="DW17" s="176"/>
      <c r="DX17" s="176"/>
      <c r="DY17" s="176"/>
      <c r="DZ17" s="176"/>
      <c r="EA17" s="176"/>
      <c r="EB17" s="176"/>
      <c r="EC17" s="176"/>
      <c r="ED17" s="176"/>
      <c r="EE17" s="176"/>
      <c r="EF17" s="176"/>
      <c r="EG17" s="176"/>
      <c r="EH17" s="176"/>
      <c r="EI17" s="176"/>
      <c r="EJ17" s="176"/>
      <c r="EK17" s="176"/>
      <c r="EL17" s="176"/>
      <c r="EM17" s="176"/>
      <c r="EN17" s="176"/>
      <c r="EO17" s="176"/>
      <c r="EP17" s="176"/>
      <c r="EQ17" s="176"/>
      <c r="ER17" s="176"/>
      <c r="ES17" s="176"/>
      <c r="ET17" s="176"/>
      <c r="EU17" s="176"/>
      <c r="EV17" s="176"/>
      <c r="EW17" s="176"/>
      <c r="EX17" s="176"/>
      <c r="EY17" s="176"/>
      <c r="EZ17" s="176"/>
      <c r="FA17" s="176"/>
      <c r="FB17" s="176"/>
      <c r="FC17" s="176"/>
      <c r="FD17" s="176"/>
      <c r="FE17" s="176"/>
      <c r="FF17" s="176"/>
      <c r="FG17" s="176"/>
      <c r="FH17" s="176"/>
      <c r="FI17" s="176"/>
      <c r="FJ17" s="176"/>
      <c r="FK17" s="176"/>
      <c r="FL17" s="176"/>
      <c r="FM17" s="176"/>
      <c r="FN17" s="176"/>
      <c r="FO17" s="176"/>
      <c r="FP17" s="176"/>
      <c r="FQ17" s="176"/>
      <c r="FR17" s="176"/>
      <c r="FS17" s="176"/>
      <c r="FT17" s="176"/>
      <c r="FU17" s="176"/>
      <c r="FV17" s="176"/>
      <c r="FW17" s="176"/>
      <c r="FX17" s="176"/>
      <c r="FY17" s="176"/>
      <c r="FZ17" s="176"/>
      <c r="GA17" s="176"/>
      <c r="GB17" s="176"/>
      <c r="GC17" s="176"/>
      <c r="GD17" s="176"/>
      <c r="GE17" s="176"/>
      <c r="GF17" s="176"/>
      <c r="GG17" s="176"/>
      <c r="GH17" s="176"/>
      <c r="GI17" s="176"/>
      <c r="GJ17" s="176"/>
      <c r="GK17" s="176"/>
      <c r="GL17" s="176"/>
      <c r="GM17" s="176"/>
      <c r="GN17" s="176"/>
      <c r="GO17" s="176"/>
      <c r="GP17" s="176"/>
      <c r="GQ17" s="176"/>
      <c r="GR17" s="176"/>
      <c r="GS17" s="176"/>
      <c r="GT17" s="176"/>
      <c r="GU17" s="176"/>
      <c r="GV17" s="176"/>
      <c r="GW17" s="176"/>
      <c r="GX17" s="176"/>
      <c r="GY17" s="176"/>
      <c r="GZ17" s="176"/>
      <c r="HA17" s="176"/>
      <c r="HB17" s="176"/>
      <c r="HC17" s="176"/>
      <c r="HD17" s="176"/>
      <c r="HE17" s="176"/>
      <c r="HF17" s="176"/>
      <c r="HG17" s="176"/>
      <c r="HH17" s="176"/>
      <c r="HI17" s="176"/>
      <c r="HJ17" s="176"/>
      <c r="HK17" s="176"/>
      <c r="HL17" s="176"/>
      <c r="HM17" s="176"/>
      <c r="HN17" s="176"/>
      <c r="HO17" s="176"/>
      <c r="HP17" s="176"/>
      <c r="HQ17" s="176"/>
      <c r="HR17" s="176"/>
      <c r="HS17" s="176"/>
      <c r="HT17" s="176"/>
      <c r="HU17" s="176"/>
      <c r="HV17" s="176"/>
      <c r="HW17" s="176"/>
      <c r="HX17" s="176"/>
      <c r="HY17" s="176"/>
      <c r="HZ17" s="176"/>
      <c r="IA17" s="176"/>
      <c r="IB17" s="176"/>
      <c r="IC17" s="176"/>
      <c r="ID17" s="176"/>
      <c r="IE17" s="176"/>
      <c r="IF17" s="176"/>
      <c r="IG17" s="176"/>
      <c r="IH17" s="176"/>
      <c r="II17" s="176"/>
      <c r="IJ17" s="176"/>
      <c r="IK17" s="176"/>
      <c r="IL17" s="176"/>
      <c r="IM17" s="176"/>
      <c r="IN17" s="176"/>
      <c r="IO17" s="176"/>
      <c r="IP17" s="176"/>
      <c r="IQ17" s="176"/>
      <c r="IR17" s="176"/>
      <c r="IS17" s="176"/>
      <c r="IT17" s="176"/>
      <c r="IU17" s="176"/>
      <c r="IV17" s="176"/>
    </row>
    <row r="18" spans="1:256" x14ac:dyDescent="0.25">
      <c r="A18" s="314"/>
      <c r="B18" s="183"/>
      <c r="C18" s="129"/>
      <c r="D18" s="315"/>
      <c r="E18" s="543"/>
      <c r="F18" s="176"/>
      <c r="G18" s="176"/>
      <c r="H18" s="176"/>
      <c r="I18" s="176"/>
      <c r="J18" s="176"/>
      <c r="K18" s="176"/>
      <c r="L18" s="176"/>
      <c r="M18" s="176"/>
      <c r="N18" s="176"/>
      <c r="O18" s="176"/>
      <c r="P18" s="176"/>
      <c r="Q18" s="176"/>
      <c r="R18" s="176"/>
      <c r="S18" s="176"/>
      <c r="T18" s="176"/>
      <c r="U18" s="176"/>
      <c r="V18" s="176"/>
      <c r="W18" s="176"/>
      <c r="X18" s="176"/>
      <c r="Y18" s="176"/>
      <c r="Z18" s="176"/>
      <c r="AA18" s="176"/>
      <c r="AB18" s="176"/>
      <c r="AC18" s="176"/>
      <c r="AD18" s="176"/>
      <c r="AE18" s="176"/>
      <c r="AF18" s="176"/>
      <c r="AG18" s="176"/>
      <c r="AH18" s="176"/>
      <c r="AI18" s="176"/>
      <c r="AJ18" s="176"/>
      <c r="AK18" s="176"/>
      <c r="AL18" s="176"/>
      <c r="AM18" s="176"/>
      <c r="AN18" s="176"/>
      <c r="AO18" s="176"/>
      <c r="AP18" s="176"/>
      <c r="AQ18" s="176"/>
      <c r="AR18" s="176"/>
      <c r="AS18" s="176"/>
      <c r="AT18" s="176"/>
      <c r="AU18" s="176"/>
      <c r="AV18" s="176"/>
      <c r="AW18" s="176"/>
      <c r="AX18" s="176"/>
      <c r="AY18" s="176"/>
      <c r="AZ18" s="176"/>
      <c r="BA18" s="176"/>
      <c r="BB18" s="176"/>
      <c r="BC18" s="176"/>
      <c r="BD18" s="176"/>
      <c r="BE18" s="176"/>
      <c r="BF18" s="176"/>
      <c r="BG18" s="176"/>
      <c r="BH18" s="176"/>
      <c r="BI18" s="176"/>
      <c r="BJ18" s="176"/>
      <c r="BK18" s="176"/>
      <c r="BL18" s="176"/>
      <c r="BM18" s="176"/>
      <c r="BN18" s="176"/>
      <c r="BO18" s="176"/>
      <c r="BP18" s="176"/>
      <c r="BQ18" s="176"/>
      <c r="BR18" s="176"/>
      <c r="BS18" s="176"/>
      <c r="BT18" s="176"/>
      <c r="BU18" s="176"/>
      <c r="BV18" s="176"/>
      <c r="BW18" s="176"/>
      <c r="BX18" s="176"/>
      <c r="BY18" s="176"/>
      <c r="BZ18" s="176"/>
      <c r="CA18" s="176"/>
      <c r="CB18" s="176"/>
      <c r="CC18" s="176"/>
      <c r="CD18" s="176"/>
      <c r="CE18" s="176"/>
      <c r="CF18" s="176"/>
      <c r="CG18" s="176"/>
      <c r="CH18" s="176"/>
      <c r="CI18" s="176"/>
      <c r="CJ18" s="176"/>
      <c r="CK18" s="176"/>
      <c r="CL18" s="176"/>
      <c r="CM18" s="176"/>
      <c r="CN18" s="176"/>
      <c r="CO18" s="176"/>
      <c r="CP18" s="176"/>
      <c r="CQ18" s="176"/>
      <c r="CR18" s="176"/>
      <c r="CS18" s="176"/>
      <c r="CT18" s="176"/>
      <c r="CU18" s="176"/>
      <c r="CV18" s="176"/>
      <c r="CW18" s="176"/>
      <c r="CX18" s="176"/>
      <c r="CY18" s="176"/>
      <c r="CZ18" s="176"/>
      <c r="DA18" s="176"/>
      <c r="DB18" s="176"/>
      <c r="DC18" s="176"/>
      <c r="DD18" s="176"/>
      <c r="DE18" s="176"/>
      <c r="DF18" s="176"/>
      <c r="DG18" s="176"/>
      <c r="DH18" s="176"/>
      <c r="DI18" s="176"/>
      <c r="DJ18" s="176"/>
      <c r="DK18" s="176"/>
      <c r="DL18" s="176"/>
      <c r="DM18" s="176"/>
      <c r="DN18" s="176"/>
      <c r="DO18" s="176"/>
      <c r="DP18" s="176"/>
      <c r="DQ18" s="176"/>
      <c r="DR18" s="176"/>
      <c r="DS18" s="176"/>
      <c r="DT18" s="176"/>
      <c r="DU18" s="176"/>
      <c r="DV18" s="176"/>
      <c r="DW18" s="176"/>
      <c r="DX18" s="176"/>
      <c r="DY18" s="176"/>
      <c r="DZ18" s="176"/>
      <c r="EA18" s="176"/>
      <c r="EB18" s="176"/>
      <c r="EC18" s="176"/>
      <c r="ED18" s="176"/>
      <c r="EE18" s="176"/>
      <c r="EF18" s="176"/>
      <c r="EG18" s="176"/>
      <c r="EH18" s="176"/>
      <c r="EI18" s="176"/>
      <c r="EJ18" s="176"/>
      <c r="EK18" s="176"/>
      <c r="EL18" s="176"/>
      <c r="EM18" s="176"/>
      <c r="EN18" s="176"/>
      <c r="EO18" s="176"/>
      <c r="EP18" s="176"/>
      <c r="EQ18" s="176"/>
      <c r="ER18" s="176"/>
      <c r="ES18" s="176"/>
      <c r="ET18" s="176"/>
      <c r="EU18" s="176"/>
      <c r="EV18" s="176"/>
      <c r="EW18" s="176"/>
      <c r="EX18" s="176"/>
      <c r="EY18" s="176"/>
      <c r="EZ18" s="176"/>
      <c r="FA18" s="176"/>
      <c r="FB18" s="176"/>
      <c r="FC18" s="176"/>
      <c r="FD18" s="176"/>
      <c r="FE18" s="176"/>
      <c r="FF18" s="176"/>
      <c r="FG18" s="176"/>
      <c r="FH18" s="176"/>
      <c r="FI18" s="176"/>
      <c r="FJ18" s="176"/>
      <c r="FK18" s="176"/>
      <c r="FL18" s="176"/>
      <c r="FM18" s="176"/>
      <c r="FN18" s="176"/>
      <c r="FO18" s="176"/>
      <c r="FP18" s="176"/>
      <c r="FQ18" s="176"/>
      <c r="FR18" s="176"/>
      <c r="FS18" s="176"/>
      <c r="FT18" s="176"/>
      <c r="FU18" s="176"/>
      <c r="FV18" s="176"/>
      <c r="FW18" s="176"/>
      <c r="FX18" s="176"/>
      <c r="FY18" s="176"/>
      <c r="FZ18" s="176"/>
      <c r="GA18" s="176"/>
      <c r="GB18" s="176"/>
      <c r="GC18" s="176"/>
      <c r="GD18" s="176"/>
      <c r="GE18" s="176"/>
      <c r="GF18" s="176"/>
      <c r="GG18" s="176"/>
      <c r="GH18" s="176"/>
      <c r="GI18" s="176"/>
      <c r="GJ18" s="176"/>
      <c r="GK18" s="176"/>
      <c r="GL18" s="176"/>
      <c r="GM18" s="176"/>
      <c r="GN18" s="176"/>
      <c r="GO18" s="176"/>
      <c r="GP18" s="176"/>
      <c r="GQ18" s="176"/>
      <c r="GR18" s="176"/>
      <c r="GS18" s="176"/>
      <c r="GT18" s="176"/>
      <c r="GU18" s="176"/>
      <c r="GV18" s="176"/>
      <c r="GW18" s="176"/>
      <c r="GX18" s="176"/>
      <c r="GY18" s="176"/>
      <c r="GZ18" s="176"/>
      <c r="HA18" s="176"/>
      <c r="HB18" s="176"/>
      <c r="HC18" s="176"/>
      <c r="HD18" s="176"/>
      <c r="HE18" s="176"/>
      <c r="HF18" s="176"/>
      <c r="HG18" s="176"/>
      <c r="HH18" s="176"/>
      <c r="HI18" s="176"/>
      <c r="HJ18" s="176"/>
      <c r="HK18" s="176"/>
      <c r="HL18" s="176"/>
      <c r="HM18" s="176"/>
      <c r="HN18" s="176"/>
      <c r="HO18" s="176"/>
      <c r="HP18" s="176"/>
      <c r="HQ18" s="176"/>
      <c r="HR18" s="176"/>
      <c r="HS18" s="176"/>
      <c r="HT18" s="176"/>
      <c r="HU18" s="176"/>
      <c r="HV18" s="176"/>
      <c r="HW18" s="176"/>
      <c r="HX18" s="176"/>
      <c r="HY18" s="176"/>
      <c r="HZ18" s="176"/>
      <c r="IA18" s="176"/>
      <c r="IB18" s="176"/>
      <c r="IC18" s="176"/>
      <c r="ID18" s="176"/>
      <c r="IE18" s="176"/>
      <c r="IF18" s="176"/>
      <c r="IG18" s="176"/>
      <c r="IH18" s="176"/>
      <c r="II18" s="176"/>
      <c r="IJ18" s="176"/>
      <c r="IK18" s="176"/>
      <c r="IL18" s="176"/>
      <c r="IM18" s="176"/>
      <c r="IN18" s="176"/>
      <c r="IO18" s="176"/>
      <c r="IP18" s="176"/>
      <c r="IQ18" s="176"/>
      <c r="IR18" s="176"/>
      <c r="IS18" s="176"/>
      <c r="IT18" s="176"/>
      <c r="IU18" s="176"/>
      <c r="IV18" s="176"/>
    </row>
    <row r="19" spans="1:256" x14ac:dyDescent="0.25">
      <c r="A19" s="193" t="s">
        <v>405</v>
      </c>
      <c r="B19" s="125"/>
      <c r="C19" s="188" t="s">
        <v>105</v>
      </c>
      <c r="D19" s="194">
        <f>D10+D17+D15</f>
        <v>347336013.751625</v>
      </c>
      <c r="E19" s="543"/>
    </row>
    <row r="20" spans="1:256" x14ac:dyDescent="0.25">
      <c r="A20" s="135"/>
      <c r="B20" s="125"/>
      <c r="C20" s="188"/>
      <c r="D20" s="195"/>
      <c r="E20" s="543"/>
    </row>
    <row r="21" spans="1:256" x14ac:dyDescent="0.25">
      <c r="A21" s="135"/>
      <c r="B21" s="125"/>
      <c r="C21" s="188"/>
      <c r="D21" s="195"/>
      <c r="E21" s="543"/>
    </row>
    <row r="22" spans="1:256" x14ac:dyDescent="0.25">
      <c r="A22" s="173"/>
      <c r="B22" s="162"/>
      <c r="C22" s="162"/>
      <c r="D22" s="174"/>
      <c r="E22" s="545"/>
    </row>
    <row r="24" spans="1:256" x14ac:dyDescent="0.25">
      <c r="A24" s="175"/>
      <c r="C24" s="175"/>
      <c r="D24" s="460" t="s">
        <v>719</v>
      </c>
      <c r="G24" s="177"/>
      <c r="H24" s="177"/>
      <c r="I24" s="177"/>
    </row>
    <row r="25" spans="1:256" x14ac:dyDescent="0.25">
      <c r="B25" s="123" t="str">
        <f>[1]NERACA!D33</f>
        <v>Dilaporkan Oleh;</v>
      </c>
      <c r="D25" s="123" t="str">
        <f>[1]NERACA!I33</f>
        <v>Dibuat Oleh;</v>
      </c>
    </row>
    <row r="26" spans="1:256" x14ac:dyDescent="0.25">
      <c r="B26" s="178"/>
      <c r="C26" s="178"/>
      <c r="H26" s="179"/>
      <c r="I26" s="179"/>
    </row>
    <row r="27" spans="1:256" x14ac:dyDescent="0.25">
      <c r="B27" s="178"/>
      <c r="C27" s="178"/>
      <c r="H27" s="179"/>
      <c r="I27" s="179"/>
    </row>
    <row r="28" spans="1:256" x14ac:dyDescent="0.25">
      <c r="A28" s="178"/>
      <c r="B28" s="178"/>
      <c r="C28" s="178"/>
      <c r="G28" s="179"/>
      <c r="H28" s="179"/>
      <c r="I28" s="179"/>
    </row>
    <row r="29" spans="1:256" x14ac:dyDescent="0.25">
      <c r="A29" s="175"/>
      <c r="B29" s="178" t="str">
        <f>'LAPORAN LABA'!C67</f>
        <v>DODIK SUSANTO, S.Fil.I</v>
      </c>
      <c r="C29" s="175"/>
      <c r="D29" s="178" t="str">
        <f>'LAPORAN LABA'!D67</f>
        <v>MAMIK KURNIAWATI</v>
      </c>
      <c r="E29" s="547"/>
      <c r="G29" s="177"/>
      <c r="H29" s="177"/>
      <c r="I29" s="177"/>
    </row>
    <row r="30" spans="1:256" x14ac:dyDescent="0.25">
      <c r="B30" s="123" t="str">
        <f>'LAPORAN LABA'!C68</f>
        <v>Direktur BUMDesa "BAROKAH"</v>
      </c>
      <c r="D30" s="123" t="str">
        <f>'LAPORAN LABA'!D68</f>
        <v>Bendahara BUMDesa "BAROKAH"</v>
      </c>
    </row>
    <row r="32" spans="1:256" x14ac:dyDescent="0.25">
      <c r="A32" s="196" t="s">
        <v>127</v>
      </c>
      <c r="C32" s="175" t="str">
        <f>[1]NERACA!G40</f>
        <v>Disetujui Oleh</v>
      </c>
      <c r="F32" s="175"/>
    </row>
    <row r="33" spans="1:6" x14ac:dyDescent="0.25">
      <c r="A33" s="196" t="str">
        <f>'LAPORAN LABA'!B72</f>
        <v>Badan Pengawas</v>
      </c>
      <c r="C33" s="175" t="str">
        <f>'LAPORAN LABA'!D72</f>
        <v>Kepala Desa Balongbesuk</v>
      </c>
      <c r="F33" s="175"/>
    </row>
    <row r="34" spans="1:6" x14ac:dyDescent="0.25">
      <c r="A34" s="197"/>
    </row>
    <row r="35" spans="1:6" x14ac:dyDescent="0.25">
      <c r="A35" s="197"/>
    </row>
    <row r="36" spans="1:6" x14ac:dyDescent="0.25">
      <c r="A36" s="197"/>
    </row>
    <row r="37" spans="1:6" x14ac:dyDescent="0.25">
      <c r="A37" s="198" t="str">
        <f>'LAPORAN LABA'!B77</f>
        <v>SADJI ABDULLAH</v>
      </c>
      <c r="B37" s="178"/>
      <c r="C37" s="178" t="str">
        <f>'LAPORAN LABA'!D77</f>
        <v>MOCHAMAD SAIFUR</v>
      </c>
    </row>
  </sheetData>
  <mergeCells count="4">
    <mergeCell ref="A1:E1"/>
    <mergeCell ref="A2:E2"/>
    <mergeCell ref="A3:E3"/>
    <mergeCell ref="A4:E4"/>
  </mergeCells>
  <pageMargins left="1" right="0.4375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IW77"/>
  <sheetViews>
    <sheetView view="pageBreakPreview" topLeftCell="B2" zoomScaleNormal="100" zoomScaleSheetLayoutView="100" workbookViewId="0">
      <pane xSplit="1" ySplit="6" topLeftCell="C44" activePane="bottomRight" state="frozen"/>
      <selection activeCell="B2" sqref="B2"/>
      <selection pane="topRight" activeCell="C2" sqref="C2"/>
      <selection pane="bottomLeft" activeCell="B8" sqref="B8"/>
      <selection pane="bottomRight" activeCell="G47" sqref="G47"/>
    </sheetView>
  </sheetViews>
  <sheetFormatPr defaultColWidth="9" defaultRowHeight="15" x14ac:dyDescent="0.25"/>
  <cols>
    <col min="1" max="1" width="2.85546875" style="123" customWidth="1"/>
    <col min="2" max="2" width="4.5703125" style="123" customWidth="1"/>
    <col min="3" max="3" width="54.5703125" style="123" customWidth="1"/>
    <col min="4" max="4" width="6.28515625" style="123" customWidth="1"/>
    <col min="5" max="5" width="17.85546875" style="123" customWidth="1"/>
    <col min="6" max="6" width="2.5703125" style="176" customWidth="1"/>
    <col min="7" max="7" width="18.42578125" style="123" customWidth="1"/>
    <col min="8" max="8" width="2" style="123" customWidth="1"/>
    <col min="9" max="9" width="1.7109375" style="123" customWidth="1"/>
    <col min="10" max="10" width="16.85546875" style="123" customWidth="1"/>
    <col min="11" max="11" width="13.42578125" style="123" bestFit="1" customWidth="1"/>
    <col min="12" max="12" width="12.140625" style="123" customWidth="1"/>
    <col min="13" max="257" width="9.140625" style="123" customWidth="1"/>
    <col min="258" max="258" width="9" customWidth="1"/>
  </cols>
  <sheetData>
    <row r="1" spans="1:257" ht="18.75" x14ac:dyDescent="0.3">
      <c r="B1" s="914" t="s">
        <v>206</v>
      </c>
      <c r="C1" s="914"/>
      <c r="D1" s="914"/>
      <c r="E1" s="914"/>
      <c r="F1" s="914"/>
      <c r="G1" s="914"/>
      <c r="H1" s="914"/>
    </row>
    <row r="2" spans="1:257" ht="18.75" x14ac:dyDescent="0.3">
      <c r="B2" s="914" t="s">
        <v>207</v>
      </c>
      <c r="C2" s="914"/>
      <c r="D2" s="914"/>
      <c r="E2" s="914"/>
      <c r="F2" s="914"/>
      <c r="G2" s="914"/>
      <c r="H2" s="914"/>
    </row>
    <row r="3" spans="1:257" ht="18.75" x14ac:dyDescent="0.3">
      <c r="B3" s="914" t="s">
        <v>103</v>
      </c>
      <c r="C3" s="914"/>
      <c r="D3" s="914"/>
      <c r="E3" s="914"/>
      <c r="F3" s="914"/>
      <c r="G3" s="914"/>
      <c r="H3" s="914"/>
    </row>
    <row r="4" spans="1:257" x14ac:dyDescent="0.25">
      <c r="B4" s="921" t="s">
        <v>746</v>
      </c>
      <c r="C4" s="922"/>
      <c r="D4" s="922"/>
      <c r="E4" s="922"/>
      <c r="F4" s="922"/>
      <c r="G4" s="922"/>
      <c r="H4" s="922"/>
    </row>
    <row r="5" spans="1:257" ht="15.75" thickTop="1" x14ac:dyDescent="0.25"/>
    <row r="6" spans="1:257" x14ac:dyDescent="0.25">
      <c r="A6" s="176"/>
      <c r="B6" s="176"/>
      <c r="C6" s="176"/>
      <c r="D6" s="176"/>
      <c r="E6" s="488" t="s">
        <v>727</v>
      </c>
      <c r="F6" s="241"/>
      <c r="G6" s="488" t="s">
        <v>747</v>
      </c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  <c r="AA6" s="176"/>
      <c r="AB6" s="176"/>
      <c r="AC6" s="176"/>
      <c r="AD6" s="176"/>
      <c r="AE6" s="176"/>
      <c r="AF6" s="176"/>
      <c r="AG6" s="176"/>
      <c r="AH6" s="176"/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  <c r="AT6" s="176"/>
      <c r="AU6" s="176"/>
      <c r="AV6" s="176"/>
      <c r="AW6" s="176"/>
      <c r="AX6" s="176"/>
      <c r="AY6" s="176"/>
      <c r="AZ6" s="176"/>
      <c r="BA6" s="176"/>
      <c r="BB6" s="176"/>
      <c r="BC6" s="176"/>
      <c r="BD6" s="176"/>
      <c r="BE6" s="176"/>
      <c r="BF6" s="176"/>
      <c r="BG6" s="176"/>
      <c r="BH6" s="176"/>
      <c r="BI6" s="176"/>
      <c r="BJ6" s="176"/>
      <c r="BK6" s="176"/>
      <c r="BL6" s="176"/>
      <c r="BM6" s="176"/>
      <c r="BN6" s="176"/>
      <c r="BO6" s="176"/>
      <c r="BP6" s="176"/>
      <c r="BQ6" s="176"/>
      <c r="BR6" s="176"/>
      <c r="BS6" s="176"/>
      <c r="BT6" s="176"/>
      <c r="BU6" s="176"/>
      <c r="BV6" s="176"/>
      <c r="BW6" s="176"/>
      <c r="BX6" s="176"/>
      <c r="BY6" s="176"/>
      <c r="BZ6" s="176"/>
      <c r="CA6" s="176"/>
      <c r="CB6" s="176"/>
      <c r="CC6" s="176"/>
      <c r="CD6" s="176"/>
      <c r="CE6" s="176"/>
      <c r="CF6" s="176"/>
      <c r="CG6" s="176"/>
      <c r="CH6" s="176"/>
      <c r="CI6" s="176"/>
      <c r="CJ6" s="176"/>
      <c r="CK6" s="176"/>
      <c r="CL6" s="176"/>
      <c r="CM6" s="176"/>
      <c r="CN6" s="176"/>
      <c r="CO6" s="176"/>
      <c r="CP6" s="176"/>
      <c r="CQ6" s="176"/>
      <c r="CR6" s="176"/>
      <c r="CS6" s="176"/>
      <c r="CT6" s="176"/>
      <c r="CU6" s="176"/>
      <c r="CV6" s="176"/>
      <c r="CW6" s="176"/>
      <c r="CX6" s="176"/>
      <c r="CY6" s="176"/>
      <c r="CZ6" s="176"/>
      <c r="DA6" s="176"/>
      <c r="DB6" s="176"/>
      <c r="DC6" s="176"/>
      <c r="DD6" s="176"/>
      <c r="DE6" s="176"/>
      <c r="DF6" s="176"/>
      <c r="DG6" s="176"/>
      <c r="DH6" s="176"/>
      <c r="DI6" s="176"/>
      <c r="DJ6" s="176"/>
      <c r="DK6" s="176"/>
      <c r="DL6" s="176"/>
      <c r="DM6" s="176"/>
      <c r="DN6" s="176"/>
      <c r="DO6" s="176"/>
      <c r="DP6" s="176"/>
      <c r="DQ6" s="176"/>
      <c r="DR6" s="176"/>
      <c r="DS6" s="176"/>
      <c r="DT6" s="176"/>
      <c r="DU6" s="176"/>
      <c r="DV6" s="176"/>
      <c r="DW6" s="176"/>
      <c r="DX6" s="176"/>
      <c r="DY6" s="176"/>
      <c r="DZ6" s="176"/>
      <c r="EA6" s="176"/>
      <c r="EB6" s="176"/>
      <c r="EC6" s="176"/>
      <c r="ED6" s="176"/>
      <c r="EE6" s="176"/>
      <c r="EF6" s="176"/>
      <c r="EG6" s="176"/>
      <c r="EH6" s="176"/>
      <c r="EI6" s="176"/>
      <c r="EJ6" s="176"/>
      <c r="EK6" s="176"/>
      <c r="EL6" s="176"/>
      <c r="EM6" s="176"/>
      <c r="EN6" s="176"/>
      <c r="EO6" s="176"/>
      <c r="EP6" s="176"/>
      <c r="EQ6" s="176"/>
      <c r="ER6" s="176"/>
      <c r="ES6" s="176"/>
      <c r="ET6" s="176"/>
      <c r="EU6" s="176"/>
      <c r="EV6" s="176"/>
      <c r="EW6" s="176"/>
      <c r="EX6" s="176"/>
      <c r="EY6" s="176"/>
      <c r="EZ6" s="176"/>
      <c r="FA6" s="176"/>
      <c r="FB6" s="176"/>
      <c r="FC6" s="176"/>
      <c r="FD6" s="176"/>
      <c r="FE6" s="176"/>
      <c r="FF6" s="176"/>
      <c r="FG6" s="176"/>
      <c r="FH6" s="176"/>
      <c r="FI6" s="176"/>
      <c r="FJ6" s="176"/>
      <c r="FK6" s="176"/>
      <c r="FL6" s="176"/>
      <c r="FM6" s="176"/>
      <c r="FN6" s="176"/>
      <c r="FO6" s="176"/>
      <c r="FP6" s="176"/>
      <c r="FQ6" s="176"/>
      <c r="FR6" s="176"/>
      <c r="FS6" s="176"/>
      <c r="FT6" s="176"/>
      <c r="FU6" s="176"/>
      <c r="FV6" s="176"/>
      <c r="FW6" s="176"/>
      <c r="FX6" s="176"/>
      <c r="FY6" s="176"/>
      <c r="FZ6" s="176"/>
      <c r="GA6" s="176"/>
      <c r="GB6" s="176"/>
      <c r="GC6" s="176"/>
      <c r="GD6" s="176"/>
      <c r="GE6" s="176"/>
      <c r="GF6" s="176"/>
      <c r="GG6" s="176"/>
      <c r="GH6" s="176"/>
      <c r="GI6" s="176"/>
      <c r="GJ6" s="176"/>
      <c r="GK6" s="176"/>
      <c r="GL6" s="176"/>
      <c r="GM6" s="176"/>
      <c r="GN6" s="176"/>
      <c r="GO6" s="176"/>
      <c r="GP6" s="176"/>
      <c r="GQ6" s="176"/>
      <c r="GR6" s="176"/>
      <c r="GS6" s="176"/>
      <c r="GT6" s="176"/>
      <c r="GU6" s="176"/>
      <c r="GV6" s="176"/>
      <c r="GW6" s="176"/>
      <c r="GX6" s="176"/>
      <c r="GY6" s="176"/>
      <c r="GZ6" s="176"/>
      <c r="HA6" s="176"/>
      <c r="HB6" s="176"/>
      <c r="HC6" s="176"/>
      <c r="HD6" s="176"/>
      <c r="HE6" s="176"/>
      <c r="HF6" s="176"/>
      <c r="HG6" s="176"/>
      <c r="HH6" s="176"/>
      <c r="HI6" s="176"/>
      <c r="HJ6" s="176"/>
      <c r="HK6" s="176"/>
      <c r="HL6" s="176"/>
      <c r="HM6" s="176"/>
      <c r="HN6" s="176"/>
      <c r="HO6" s="176"/>
      <c r="HP6" s="176"/>
      <c r="HQ6" s="176"/>
      <c r="HR6" s="176"/>
      <c r="HS6" s="176"/>
      <c r="HT6" s="176"/>
      <c r="HU6" s="176"/>
      <c r="HV6" s="176"/>
      <c r="HW6" s="176"/>
      <c r="HX6" s="176"/>
      <c r="HY6" s="176"/>
      <c r="HZ6" s="176"/>
      <c r="IA6" s="176"/>
      <c r="IB6" s="176"/>
      <c r="IC6" s="176"/>
      <c r="ID6" s="176"/>
      <c r="IE6" s="176"/>
      <c r="IF6" s="176"/>
      <c r="IG6" s="176"/>
      <c r="IH6" s="176"/>
      <c r="II6" s="176"/>
      <c r="IJ6" s="176"/>
      <c r="IK6" s="176"/>
      <c r="IL6" s="176"/>
      <c r="IM6" s="176"/>
      <c r="IN6" s="176"/>
      <c r="IO6" s="176"/>
      <c r="IP6" s="176"/>
      <c r="IQ6" s="176"/>
      <c r="IR6" s="176"/>
      <c r="IS6" s="176"/>
      <c r="IT6" s="176"/>
      <c r="IU6" s="176"/>
      <c r="IV6" s="176"/>
      <c r="IW6" s="176"/>
    </row>
    <row r="7" spans="1:257" ht="16.5" thickBot="1" x14ac:dyDescent="0.3">
      <c r="B7" s="923" t="s">
        <v>90</v>
      </c>
      <c r="C7" s="924"/>
      <c r="D7" s="924"/>
      <c r="E7" s="924"/>
      <c r="F7" s="924"/>
      <c r="G7" s="924"/>
      <c r="H7" s="925"/>
    </row>
    <row r="8" spans="1:257" x14ac:dyDescent="0.25">
      <c r="B8" s="124" t="s">
        <v>104</v>
      </c>
      <c r="C8" s="125"/>
      <c r="D8" s="126"/>
      <c r="E8" s="125"/>
      <c r="F8" s="183"/>
      <c r="G8" s="125"/>
      <c r="H8" s="126"/>
    </row>
    <row r="9" spans="1:257" s="367" customFormat="1" x14ac:dyDescent="0.25">
      <c r="A9" s="241"/>
      <c r="B9" s="135">
        <v>1</v>
      </c>
      <c r="C9" s="243" t="s">
        <v>464</v>
      </c>
      <c r="D9" s="396"/>
      <c r="E9" s="403">
        <f>SUM(E10:E11)</f>
        <v>8110000</v>
      </c>
      <c r="F9" s="133"/>
      <c r="G9" s="403">
        <f>SUM(G10:G11)</f>
        <v>4390000</v>
      </c>
      <c r="H9" s="396"/>
      <c r="I9" s="241"/>
      <c r="J9" s="241"/>
      <c r="K9" s="241"/>
      <c r="L9" s="241"/>
      <c r="M9" s="241"/>
      <c r="N9" s="241"/>
      <c r="O9" s="241"/>
      <c r="P9" s="241"/>
      <c r="Q9" s="241"/>
      <c r="R9" s="241"/>
      <c r="S9" s="241"/>
      <c r="T9" s="241"/>
      <c r="U9" s="241"/>
      <c r="V9" s="241"/>
      <c r="W9" s="241"/>
      <c r="X9" s="241"/>
      <c r="Y9" s="241"/>
      <c r="Z9" s="241"/>
      <c r="AA9" s="241"/>
      <c r="AB9" s="241"/>
      <c r="AC9" s="241"/>
      <c r="AD9" s="241"/>
      <c r="AE9" s="241"/>
      <c r="AF9" s="241"/>
      <c r="AG9" s="241"/>
      <c r="AH9" s="241"/>
      <c r="AI9" s="241"/>
      <c r="AJ9" s="241"/>
      <c r="AK9" s="241"/>
      <c r="AL9" s="241"/>
      <c r="AM9" s="241"/>
      <c r="AN9" s="241"/>
      <c r="AO9" s="241"/>
      <c r="AP9" s="241"/>
      <c r="AQ9" s="241"/>
      <c r="AR9" s="241"/>
      <c r="AS9" s="241"/>
      <c r="AT9" s="241"/>
      <c r="AU9" s="241"/>
      <c r="AV9" s="241"/>
      <c r="AW9" s="241"/>
      <c r="AX9" s="241"/>
      <c r="AY9" s="241"/>
      <c r="AZ9" s="241"/>
      <c r="BA9" s="241"/>
      <c r="BB9" s="241"/>
      <c r="BC9" s="241"/>
      <c r="BD9" s="241"/>
      <c r="BE9" s="241"/>
      <c r="BF9" s="241"/>
      <c r="BG9" s="241"/>
      <c r="BH9" s="241"/>
      <c r="BI9" s="241"/>
      <c r="BJ9" s="241"/>
      <c r="BK9" s="241"/>
      <c r="BL9" s="241"/>
      <c r="BM9" s="241"/>
      <c r="BN9" s="241"/>
      <c r="BO9" s="241"/>
      <c r="BP9" s="241"/>
      <c r="BQ9" s="241"/>
      <c r="BR9" s="241"/>
      <c r="BS9" s="241"/>
      <c r="BT9" s="241"/>
      <c r="BU9" s="241"/>
      <c r="BV9" s="241"/>
      <c r="BW9" s="241"/>
      <c r="BX9" s="241"/>
      <c r="BY9" s="241"/>
      <c r="BZ9" s="241"/>
      <c r="CA9" s="241"/>
      <c r="CB9" s="241"/>
      <c r="CC9" s="241"/>
      <c r="CD9" s="241"/>
      <c r="CE9" s="241"/>
      <c r="CF9" s="241"/>
      <c r="CG9" s="241"/>
      <c r="CH9" s="241"/>
      <c r="CI9" s="241"/>
      <c r="CJ9" s="241"/>
      <c r="CK9" s="241"/>
      <c r="CL9" s="241"/>
      <c r="CM9" s="241"/>
      <c r="CN9" s="241"/>
      <c r="CO9" s="241"/>
      <c r="CP9" s="241"/>
      <c r="CQ9" s="241"/>
      <c r="CR9" s="241"/>
      <c r="CS9" s="241"/>
      <c r="CT9" s="241"/>
      <c r="CU9" s="241"/>
      <c r="CV9" s="241"/>
      <c r="CW9" s="241"/>
      <c r="CX9" s="241"/>
      <c r="CY9" s="241"/>
      <c r="CZ9" s="241"/>
      <c r="DA9" s="241"/>
      <c r="DB9" s="241"/>
      <c r="DC9" s="241"/>
      <c r="DD9" s="241"/>
      <c r="DE9" s="241"/>
      <c r="DF9" s="241"/>
      <c r="DG9" s="241"/>
      <c r="DH9" s="241"/>
      <c r="DI9" s="241"/>
      <c r="DJ9" s="241"/>
      <c r="DK9" s="241"/>
      <c r="DL9" s="241"/>
      <c r="DM9" s="241"/>
      <c r="DN9" s="241"/>
      <c r="DO9" s="241"/>
      <c r="DP9" s="241"/>
      <c r="DQ9" s="241"/>
      <c r="DR9" s="241"/>
      <c r="DS9" s="241"/>
      <c r="DT9" s="241"/>
      <c r="DU9" s="241"/>
      <c r="DV9" s="241"/>
      <c r="DW9" s="241"/>
      <c r="DX9" s="241"/>
      <c r="DY9" s="241"/>
      <c r="DZ9" s="241"/>
      <c r="EA9" s="241"/>
      <c r="EB9" s="241"/>
      <c r="EC9" s="241"/>
      <c r="ED9" s="241"/>
      <c r="EE9" s="241"/>
      <c r="EF9" s="241"/>
      <c r="EG9" s="241"/>
      <c r="EH9" s="241"/>
      <c r="EI9" s="241"/>
      <c r="EJ9" s="241"/>
      <c r="EK9" s="241"/>
      <c r="EL9" s="241"/>
      <c r="EM9" s="241"/>
      <c r="EN9" s="241"/>
      <c r="EO9" s="241"/>
      <c r="EP9" s="241"/>
      <c r="EQ9" s="241"/>
      <c r="ER9" s="241"/>
      <c r="ES9" s="241"/>
      <c r="ET9" s="241"/>
      <c r="EU9" s="241"/>
      <c r="EV9" s="241"/>
      <c r="EW9" s="241"/>
      <c r="EX9" s="241"/>
      <c r="EY9" s="241"/>
      <c r="EZ9" s="241"/>
      <c r="FA9" s="241"/>
      <c r="FB9" s="241"/>
      <c r="FC9" s="241"/>
      <c r="FD9" s="241"/>
      <c r="FE9" s="241"/>
      <c r="FF9" s="241"/>
      <c r="FG9" s="241"/>
      <c r="FH9" s="241"/>
      <c r="FI9" s="241"/>
      <c r="FJ9" s="241"/>
      <c r="FK9" s="241"/>
      <c r="FL9" s="241"/>
      <c r="FM9" s="241"/>
      <c r="FN9" s="241"/>
      <c r="FO9" s="241"/>
      <c r="FP9" s="241"/>
      <c r="FQ9" s="241"/>
      <c r="FR9" s="241"/>
      <c r="FS9" s="241"/>
      <c r="FT9" s="241"/>
      <c r="FU9" s="241"/>
      <c r="FV9" s="241"/>
      <c r="FW9" s="241"/>
      <c r="FX9" s="241"/>
      <c r="FY9" s="241"/>
      <c r="FZ9" s="241"/>
      <c r="GA9" s="241"/>
      <c r="GB9" s="241"/>
      <c r="GC9" s="241"/>
      <c r="GD9" s="241"/>
      <c r="GE9" s="241"/>
      <c r="GF9" s="241"/>
      <c r="GG9" s="241"/>
      <c r="GH9" s="241"/>
      <c r="GI9" s="241"/>
      <c r="GJ9" s="241"/>
      <c r="GK9" s="241"/>
      <c r="GL9" s="241"/>
      <c r="GM9" s="241"/>
      <c r="GN9" s="241"/>
      <c r="GO9" s="241"/>
      <c r="GP9" s="241"/>
      <c r="GQ9" s="241"/>
      <c r="GR9" s="241"/>
      <c r="GS9" s="241"/>
      <c r="GT9" s="241"/>
      <c r="GU9" s="241"/>
      <c r="GV9" s="241"/>
      <c r="GW9" s="241"/>
      <c r="GX9" s="241"/>
      <c r="GY9" s="241"/>
      <c r="GZ9" s="241"/>
      <c r="HA9" s="241"/>
      <c r="HB9" s="241"/>
      <c r="HC9" s="241"/>
      <c r="HD9" s="241"/>
      <c r="HE9" s="241"/>
      <c r="HF9" s="241"/>
      <c r="HG9" s="241"/>
      <c r="HH9" s="241"/>
      <c r="HI9" s="241"/>
      <c r="HJ9" s="241"/>
      <c r="HK9" s="241"/>
      <c r="HL9" s="241"/>
      <c r="HM9" s="241"/>
      <c r="HN9" s="241"/>
      <c r="HO9" s="241"/>
      <c r="HP9" s="241"/>
      <c r="HQ9" s="241"/>
      <c r="HR9" s="241"/>
      <c r="HS9" s="241"/>
      <c r="HT9" s="241"/>
      <c r="HU9" s="241"/>
      <c r="HV9" s="241"/>
      <c r="HW9" s="241"/>
      <c r="HX9" s="241"/>
      <c r="HY9" s="241"/>
      <c r="HZ9" s="241"/>
      <c r="IA9" s="241"/>
      <c r="IB9" s="241"/>
      <c r="IC9" s="241"/>
      <c r="ID9" s="241"/>
      <c r="IE9" s="241"/>
      <c r="IF9" s="241"/>
      <c r="IG9" s="241"/>
      <c r="IH9" s="241"/>
      <c r="II9" s="241"/>
      <c r="IJ9" s="241"/>
      <c r="IK9" s="241"/>
      <c r="IL9" s="241"/>
      <c r="IM9" s="241"/>
      <c r="IN9" s="241"/>
      <c r="IO9" s="241"/>
      <c r="IP9" s="241"/>
      <c r="IQ9" s="241"/>
      <c r="IR9" s="241"/>
      <c r="IS9" s="241"/>
      <c r="IT9" s="241"/>
      <c r="IU9" s="241"/>
      <c r="IV9" s="241"/>
      <c r="IW9" s="241"/>
    </row>
    <row r="10" spans="1:257" x14ac:dyDescent="0.25">
      <c r="A10" s="176"/>
      <c r="B10" s="127"/>
      <c r="C10" s="395" t="s">
        <v>150</v>
      </c>
      <c r="D10" s="126"/>
      <c r="E10" s="251">
        <v>4510000</v>
      </c>
      <c r="F10" s="129"/>
      <c r="G10" s="130">
        <f>'sum sp'!G24+'sum sp'!G25</f>
        <v>3190000</v>
      </c>
      <c r="H10" s="126"/>
      <c r="I10" s="176"/>
      <c r="J10" s="176"/>
      <c r="K10" s="176"/>
      <c r="L10" s="176"/>
      <c r="M10" s="176"/>
      <c r="N10" s="176"/>
      <c r="O10" s="176"/>
      <c r="P10" s="176"/>
      <c r="Q10" s="176"/>
      <c r="R10" s="176"/>
      <c r="S10" s="176"/>
      <c r="T10" s="176"/>
      <c r="U10" s="176"/>
      <c r="V10" s="176"/>
      <c r="W10" s="176"/>
      <c r="X10" s="176"/>
      <c r="Y10" s="176"/>
      <c r="Z10" s="176"/>
      <c r="AA10" s="176"/>
      <c r="AB10" s="176"/>
      <c r="AC10" s="176"/>
      <c r="AD10" s="176"/>
      <c r="AE10" s="176"/>
      <c r="AF10" s="176"/>
      <c r="AG10" s="176"/>
      <c r="AH10" s="176"/>
      <c r="AI10" s="176"/>
      <c r="AJ10" s="176"/>
      <c r="AK10" s="176"/>
      <c r="AL10" s="176"/>
      <c r="AM10" s="176"/>
      <c r="AN10" s="176"/>
      <c r="AO10" s="176"/>
      <c r="AP10" s="176"/>
      <c r="AQ10" s="176"/>
      <c r="AR10" s="176"/>
      <c r="AS10" s="176"/>
      <c r="AT10" s="176"/>
      <c r="AU10" s="176"/>
      <c r="AV10" s="176"/>
      <c r="AW10" s="176"/>
      <c r="AX10" s="176"/>
      <c r="AY10" s="176"/>
      <c r="AZ10" s="176"/>
      <c r="BA10" s="176"/>
      <c r="BB10" s="176"/>
      <c r="BC10" s="176"/>
      <c r="BD10" s="176"/>
      <c r="BE10" s="176"/>
      <c r="BF10" s="176"/>
      <c r="BG10" s="176"/>
      <c r="BH10" s="176"/>
      <c r="BI10" s="176"/>
      <c r="BJ10" s="176"/>
      <c r="BK10" s="176"/>
      <c r="BL10" s="176"/>
      <c r="BM10" s="176"/>
      <c r="BN10" s="176"/>
      <c r="BO10" s="176"/>
      <c r="BP10" s="176"/>
      <c r="BQ10" s="176"/>
      <c r="BR10" s="176"/>
      <c r="BS10" s="176"/>
      <c r="BT10" s="176"/>
      <c r="BU10" s="176"/>
      <c r="BV10" s="176"/>
      <c r="BW10" s="176"/>
      <c r="BX10" s="176"/>
      <c r="BY10" s="176"/>
      <c r="BZ10" s="176"/>
      <c r="CA10" s="176"/>
      <c r="CB10" s="176"/>
      <c r="CC10" s="176"/>
      <c r="CD10" s="176"/>
      <c r="CE10" s="176"/>
      <c r="CF10" s="176"/>
      <c r="CG10" s="176"/>
      <c r="CH10" s="176"/>
      <c r="CI10" s="176"/>
      <c r="CJ10" s="176"/>
      <c r="CK10" s="176"/>
      <c r="CL10" s="176"/>
      <c r="CM10" s="176"/>
      <c r="CN10" s="176"/>
      <c r="CO10" s="176"/>
      <c r="CP10" s="176"/>
      <c r="CQ10" s="176"/>
      <c r="CR10" s="176"/>
      <c r="CS10" s="176"/>
      <c r="CT10" s="176"/>
      <c r="CU10" s="176"/>
      <c r="CV10" s="176"/>
      <c r="CW10" s="176"/>
      <c r="CX10" s="176"/>
      <c r="CY10" s="176"/>
      <c r="CZ10" s="176"/>
      <c r="DA10" s="176"/>
      <c r="DB10" s="176"/>
      <c r="DC10" s="176"/>
      <c r="DD10" s="176"/>
      <c r="DE10" s="176"/>
      <c r="DF10" s="176"/>
      <c r="DG10" s="176"/>
      <c r="DH10" s="176"/>
      <c r="DI10" s="176"/>
      <c r="DJ10" s="176"/>
      <c r="DK10" s="176"/>
      <c r="DL10" s="176"/>
      <c r="DM10" s="176"/>
      <c r="DN10" s="176"/>
      <c r="DO10" s="176"/>
      <c r="DP10" s="176"/>
      <c r="DQ10" s="176"/>
      <c r="DR10" s="176"/>
      <c r="DS10" s="176"/>
      <c r="DT10" s="176"/>
      <c r="DU10" s="176"/>
      <c r="DV10" s="176"/>
      <c r="DW10" s="176"/>
      <c r="DX10" s="176"/>
      <c r="DY10" s="176"/>
      <c r="DZ10" s="176"/>
      <c r="EA10" s="176"/>
      <c r="EB10" s="176"/>
      <c r="EC10" s="176"/>
      <c r="ED10" s="176"/>
      <c r="EE10" s="176"/>
      <c r="EF10" s="176"/>
      <c r="EG10" s="176"/>
      <c r="EH10" s="176"/>
      <c r="EI10" s="176"/>
      <c r="EJ10" s="176"/>
      <c r="EK10" s="176"/>
      <c r="EL10" s="176"/>
      <c r="EM10" s="176"/>
      <c r="EN10" s="176"/>
      <c r="EO10" s="176"/>
      <c r="EP10" s="176"/>
      <c r="EQ10" s="176"/>
      <c r="ER10" s="176"/>
      <c r="ES10" s="176"/>
      <c r="ET10" s="176"/>
      <c r="EU10" s="176"/>
      <c r="EV10" s="176"/>
      <c r="EW10" s="176"/>
      <c r="EX10" s="176"/>
      <c r="EY10" s="176"/>
      <c r="EZ10" s="176"/>
      <c r="FA10" s="176"/>
      <c r="FB10" s="176"/>
      <c r="FC10" s="176"/>
      <c r="FD10" s="176"/>
      <c r="FE10" s="176"/>
      <c r="FF10" s="176"/>
      <c r="FG10" s="176"/>
      <c r="FH10" s="176"/>
      <c r="FI10" s="176"/>
      <c r="FJ10" s="176"/>
      <c r="FK10" s="176"/>
      <c r="FL10" s="176"/>
      <c r="FM10" s="176"/>
      <c r="FN10" s="176"/>
      <c r="FO10" s="176"/>
      <c r="FP10" s="176"/>
      <c r="FQ10" s="176"/>
      <c r="FR10" s="176"/>
      <c r="FS10" s="176"/>
      <c r="FT10" s="176"/>
      <c r="FU10" s="176"/>
      <c r="FV10" s="176"/>
      <c r="FW10" s="176"/>
      <c r="FX10" s="176"/>
      <c r="FY10" s="176"/>
      <c r="FZ10" s="176"/>
      <c r="GA10" s="176"/>
      <c r="GB10" s="176"/>
      <c r="GC10" s="176"/>
      <c r="GD10" s="176"/>
      <c r="GE10" s="176"/>
      <c r="GF10" s="176"/>
      <c r="GG10" s="176"/>
      <c r="GH10" s="176"/>
      <c r="GI10" s="176"/>
      <c r="GJ10" s="176"/>
      <c r="GK10" s="176"/>
      <c r="GL10" s="176"/>
      <c r="GM10" s="176"/>
      <c r="GN10" s="176"/>
      <c r="GO10" s="176"/>
      <c r="GP10" s="176"/>
      <c r="GQ10" s="176"/>
      <c r="GR10" s="176"/>
      <c r="GS10" s="176"/>
      <c r="GT10" s="176"/>
      <c r="GU10" s="176"/>
      <c r="GV10" s="176"/>
      <c r="GW10" s="176"/>
      <c r="GX10" s="176"/>
      <c r="GY10" s="176"/>
      <c r="GZ10" s="176"/>
      <c r="HA10" s="176"/>
      <c r="HB10" s="176"/>
      <c r="HC10" s="176"/>
      <c r="HD10" s="176"/>
      <c r="HE10" s="176"/>
      <c r="HF10" s="176"/>
      <c r="HG10" s="176"/>
      <c r="HH10" s="176"/>
      <c r="HI10" s="176"/>
      <c r="HJ10" s="176"/>
      <c r="HK10" s="176"/>
      <c r="HL10" s="176"/>
      <c r="HM10" s="176"/>
      <c r="HN10" s="176"/>
      <c r="HO10" s="176"/>
      <c r="HP10" s="176"/>
      <c r="HQ10" s="176"/>
      <c r="HR10" s="176"/>
      <c r="HS10" s="176"/>
      <c r="HT10" s="176"/>
      <c r="HU10" s="176"/>
      <c r="HV10" s="176"/>
      <c r="HW10" s="176"/>
      <c r="HX10" s="176"/>
      <c r="HY10" s="176"/>
      <c r="HZ10" s="176"/>
      <c r="IA10" s="176"/>
      <c r="IB10" s="176"/>
      <c r="IC10" s="176"/>
      <c r="ID10" s="176"/>
      <c r="IE10" s="176"/>
      <c r="IF10" s="176"/>
      <c r="IG10" s="176"/>
      <c r="IH10" s="176"/>
      <c r="II10" s="176"/>
      <c r="IJ10" s="176"/>
      <c r="IK10" s="176"/>
      <c r="IL10" s="176"/>
      <c r="IM10" s="176"/>
      <c r="IN10" s="176"/>
      <c r="IO10" s="176"/>
      <c r="IP10" s="176"/>
      <c r="IQ10" s="176"/>
      <c r="IR10" s="176"/>
      <c r="IS10" s="176"/>
      <c r="IT10" s="176"/>
      <c r="IU10" s="176"/>
      <c r="IV10" s="176"/>
      <c r="IW10" s="176"/>
    </row>
    <row r="11" spans="1:257" x14ac:dyDescent="0.25">
      <c r="A11" s="176"/>
      <c r="B11" s="127"/>
      <c r="C11" s="395" t="s">
        <v>465</v>
      </c>
      <c r="D11" s="126"/>
      <c r="E11" s="251">
        <v>3600000</v>
      </c>
      <c r="F11" s="129"/>
      <c r="G11" s="130">
        <f>'sum sp'!G26</f>
        <v>1200000</v>
      </c>
      <c r="H11" s="126"/>
      <c r="I11" s="176"/>
      <c r="J11" s="176"/>
      <c r="K11" s="176"/>
      <c r="L11" s="176"/>
      <c r="M11" s="176"/>
      <c r="N11" s="176"/>
      <c r="O11" s="176"/>
      <c r="P11" s="176"/>
      <c r="Q11" s="176"/>
      <c r="R11" s="176"/>
      <c r="S11" s="176"/>
      <c r="T11" s="176"/>
      <c r="U11" s="176"/>
      <c r="V11" s="176"/>
      <c r="W11" s="176"/>
      <c r="X11" s="176"/>
      <c r="Y11" s="176"/>
      <c r="Z11" s="176"/>
      <c r="AA11" s="176"/>
      <c r="AB11" s="176"/>
      <c r="AC11" s="176"/>
      <c r="AD11" s="176"/>
      <c r="AE11" s="176"/>
      <c r="AF11" s="176"/>
      <c r="AG11" s="176"/>
      <c r="AH11" s="176"/>
      <c r="AI11" s="176"/>
      <c r="AJ11" s="176"/>
      <c r="AK11" s="176"/>
      <c r="AL11" s="176"/>
      <c r="AM11" s="176"/>
      <c r="AN11" s="176"/>
      <c r="AO11" s="176"/>
      <c r="AP11" s="176"/>
      <c r="AQ11" s="176"/>
      <c r="AR11" s="176"/>
      <c r="AS11" s="176"/>
      <c r="AT11" s="176"/>
      <c r="AU11" s="176"/>
      <c r="AV11" s="176"/>
      <c r="AW11" s="176"/>
      <c r="AX11" s="176"/>
      <c r="AY11" s="176"/>
      <c r="AZ11" s="176"/>
      <c r="BA11" s="176"/>
      <c r="BB11" s="176"/>
      <c r="BC11" s="176"/>
      <c r="BD11" s="176"/>
      <c r="BE11" s="176"/>
      <c r="BF11" s="176"/>
      <c r="BG11" s="176"/>
      <c r="BH11" s="176"/>
      <c r="BI11" s="176"/>
      <c r="BJ11" s="176"/>
      <c r="BK11" s="176"/>
      <c r="BL11" s="176"/>
      <c r="BM11" s="176"/>
      <c r="BN11" s="176"/>
      <c r="BO11" s="176"/>
      <c r="BP11" s="176"/>
      <c r="BQ11" s="176"/>
      <c r="BR11" s="176"/>
      <c r="BS11" s="176"/>
      <c r="BT11" s="176"/>
      <c r="BU11" s="176"/>
      <c r="BV11" s="176"/>
      <c r="BW11" s="176"/>
      <c r="BX11" s="176"/>
      <c r="BY11" s="176"/>
      <c r="BZ11" s="176"/>
      <c r="CA11" s="176"/>
      <c r="CB11" s="176"/>
      <c r="CC11" s="176"/>
      <c r="CD11" s="176"/>
      <c r="CE11" s="176"/>
      <c r="CF11" s="176"/>
      <c r="CG11" s="176"/>
      <c r="CH11" s="176"/>
      <c r="CI11" s="176"/>
      <c r="CJ11" s="176"/>
      <c r="CK11" s="176"/>
      <c r="CL11" s="176"/>
      <c r="CM11" s="176"/>
      <c r="CN11" s="176"/>
      <c r="CO11" s="176"/>
      <c r="CP11" s="176"/>
      <c r="CQ11" s="176"/>
      <c r="CR11" s="176"/>
      <c r="CS11" s="176"/>
      <c r="CT11" s="176"/>
      <c r="CU11" s="176"/>
      <c r="CV11" s="176"/>
      <c r="CW11" s="176"/>
      <c r="CX11" s="176"/>
      <c r="CY11" s="176"/>
      <c r="CZ11" s="176"/>
      <c r="DA11" s="176"/>
      <c r="DB11" s="176"/>
      <c r="DC11" s="176"/>
      <c r="DD11" s="176"/>
      <c r="DE11" s="176"/>
      <c r="DF11" s="176"/>
      <c r="DG11" s="176"/>
      <c r="DH11" s="176"/>
      <c r="DI11" s="176"/>
      <c r="DJ11" s="176"/>
      <c r="DK11" s="176"/>
      <c r="DL11" s="176"/>
      <c r="DM11" s="176"/>
      <c r="DN11" s="176"/>
      <c r="DO11" s="176"/>
      <c r="DP11" s="176"/>
      <c r="DQ11" s="176"/>
      <c r="DR11" s="176"/>
      <c r="DS11" s="176"/>
      <c r="DT11" s="176"/>
      <c r="DU11" s="176"/>
      <c r="DV11" s="176"/>
      <c r="DW11" s="176"/>
      <c r="DX11" s="176"/>
      <c r="DY11" s="176"/>
      <c r="DZ11" s="176"/>
      <c r="EA11" s="176"/>
      <c r="EB11" s="176"/>
      <c r="EC11" s="176"/>
      <c r="ED11" s="176"/>
      <c r="EE11" s="176"/>
      <c r="EF11" s="176"/>
      <c r="EG11" s="176"/>
      <c r="EH11" s="176"/>
      <c r="EI11" s="176"/>
      <c r="EJ11" s="176"/>
      <c r="EK11" s="176"/>
      <c r="EL11" s="176"/>
      <c r="EM11" s="176"/>
      <c r="EN11" s="176"/>
      <c r="EO11" s="176"/>
      <c r="EP11" s="176"/>
      <c r="EQ11" s="176"/>
      <c r="ER11" s="176"/>
      <c r="ES11" s="176"/>
      <c r="ET11" s="176"/>
      <c r="EU11" s="176"/>
      <c r="EV11" s="176"/>
      <c r="EW11" s="176"/>
      <c r="EX11" s="176"/>
      <c r="EY11" s="176"/>
      <c r="EZ11" s="176"/>
      <c r="FA11" s="176"/>
      <c r="FB11" s="176"/>
      <c r="FC11" s="176"/>
      <c r="FD11" s="176"/>
      <c r="FE11" s="176"/>
      <c r="FF11" s="176"/>
      <c r="FG11" s="176"/>
      <c r="FH11" s="176"/>
      <c r="FI11" s="176"/>
      <c r="FJ11" s="176"/>
      <c r="FK11" s="176"/>
      <c r="FL11" s="176"/>
      <c r="FM11" s="176"/>
      <c r="FN11" s="176"/>
      <c r="FO11" s="176"/>
      <c r="FP11" s="176"/>
      <c r="FQ11" s="176"/>
      <c r="FR11" s="176"/>
      <c r="FS11" s="176"/>
      <c r="FT11" s="176"/>
      <c r="FU11" s="176"/>
      <c r="FV11" s="176"/>
      <c r="FW11" s="176"/>
      <c r="FX11" s="176"/>
      <c r="FY11" s="176"/>
      <c r="FZ11" s="176"/>
      <c r="GA11" s="176"/>
      <c r="GB11" s="176"/>
      <c r="GC11" s="176"/>
      <c r="GD11" s="176"/>
      <c r="GE11" s="176"/>
      <c r="GF11" s="176"/>
      <c r="GG11" s="176"/>
      <c r="GH11" s="176"/>
      <c r="GI11" s="176"/>
      <c r="GJ11" s="176"/>
      <c r="GK11" s="176"/>
      <c r="GL11" s="176"/>
      <c r="GM11" s="176"/>
      <c r="GN11" s="176"/>
      <c r="GO11" s="176"/>
      <c r="GP11" s="176"/>
      <c r="GQ11" s="176"/>
      <c r="GR11" s="176"/>
      <c r="GS11" s="176"/>
      <c r="GT11" s="176"/>
      <c r="GU11" s="176"/>
      <c r="GV11" s="176"/>
      <c r="GW11" s="176"/>
      <c r="GX11" s="176"/>
      <c r="GY11" s="176"/>
      <c r="GZ11" s="176"/>
      <c r="HA11" s="176"/>
      <c r="HB11" s="176"/>
      <c r="HC11" s="176"/>
      <c r="HD11" s="176"/>
      <c r="HE11" s="176"/>
      <c r="HF11" s="176"/>
      <c r="HG11" s="176"/>
      <c r="HH11" s="176"/>
      <c r="HI11" s="176"/>
      <c r="HJ11" s="176"/>
      <c r="HK11" s="176"/>
      <c r="HL11" s="176"/>
      <c r="HM11" s="176"/>
      <c r="HN11" s="176"/>
      <c r="HO11" s="176"/>
      <c r="HP11" s="176"/>
      <c r="HQ11" s="176"/>
      <c r="HR11" s="176"/>
      <c r="HS11" s="176"/>
      <c r="HT11" s="176"/>
      <c r="HU11" s="176"/>
      <c r="HV11" s="176"/>
      <c r="HW11" s="176"/>
      <c r="HX11" s="176"/>
      <c r="HY11" s="176"/>
      <c r="HZ11" s="176"/>
      <c r="IA11" s="176"/>
      <c r="IB11" s="176"/>
      <c r="IC11" s="176"/>
      <c r="ID11" s="176"/>
      <c r="IE11" s="176"/>
      <c r="IF11" s="176"/>
      <c r="IG11" s="176"/>
      <c r="IH11" s="176"/>
      <c r="II11" s="176"/>
      <c r="IJ11" s="176"/>
      <c r="IK11" s="176"/>
      <c r="IL11" s="176"/>
      <c r="IM11" s="176"/>
      <c r="IN11" s="176"/>
      <c r="IO11" s="176"/>
      <c r="IP11" s="176"/>
      <c r="IQ11" s="176"/>
      <c r="IR11" s="176"/>
      <c r="IS11" s="176"/>
      <c r="IT11" s="176"/>
      <c r="IU11" s="176"/>
      <c r="IV11" s="176"/>
      <c r="IW11" s="176"/>
    </row>
    <row r="12" spans="1:257" x14ac:dyDescent="0.25">
      <c r="A12" s="176"/>
      <c r="B12" s="127"/>
      <c r="C12" s="378"/>
      <c r="D12" s="126"/>
      <c r="E12" s="129"/>
      <c r="F12" s="129"/>
      <c r="G12" s="130"/>
      <c r="H12" s="126"/>
      <c r="I12" s="176"/>
      <c r="J12" s="176"/>
      <c r="K12" s="176"/>
      <c r="L12" s="176"/>
      <c r="M12" s="176"/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76"/>
      <c r="Z12" s="176"/>
      <c r="AA12" s="176"/>
      <c r="AB12" s="176"/>
      <c r="AC12" s="176"/>
      <c r="AD12" s="176"/>
      <c r="AE12" s="176"/>
      <c r="AF12" s="176"/>
      <c r="AG12" s="176"/>
      <c r="AH12" s="176"/>
      <c r="AI12" s="176"/>
      <c r="AJ12" s="176"/>
      <c r="AK12" s="176"/>
      <c r="AL12" s="176"/>
      <c r="AM12" s="176"/>
      <c r="AN12" s="176"/>
      <c r="AO12" s="176"/>
      <c r="AP12" s="176"/>
      <c r="AQ12" s="176"/>
      <c r="AR12" s="176"/>
      <c r="AS12" s="176"/>
      <c r="AT12" s="176"/>
      <c r="AU12" s="176"/>
      <c r="AV12" s="176"/>
      <c r="AW12" s="176"/>
      <c r="AX12" s="176"/>
      <c r="AY12" s="176"/>
      <c r="AZ12" s="176"/>
      <c r="BA12" s="176"/>
      <c r="BB12" s="176"/>
      <c r="BC12" s="176"/>
      <c r="BD12" s="176"/>
      <c r="BE12" s="176"/>
      <c r="BF12" s="176"/>
      <c r="BG12" s="176"/>
      <c r="BH12" s="176"/>
      <c r="BI12" s="176"/>
      <c r="BJ12" s="176"/>
      <c r="BK12" s="176"/>
      <c r="BL12" s="176"/>
      <c r="BM12" s="176"/>
      <c r="BN12" s="176"/>
      <c r="BO12" s="176"/>
      <c r="BP12" s="176"/>
      <c r="BQ12" s="176"/>
      <c r="BR12" s="176"/>
      <c r="BS12" s="176"/>
      <c r="BT12" s="176"/>
      <c r="BU12" s="176"/>
      <c r="BV12" s="176"/>
      <c r="BW12" s="176"/>
      <c r="BX12" s="176"/>
      <c r="BY12" s="176"/>
      <c r="BZ12" s="176"/>
      <c r="CA12" s="176"/>
      <c r="CB12" s="176"/>
      <c r="CC12" s="176"/>
      <c r="CD12" s="176"/>
      <c r="CE12" s="176"/>
      <c r="CF12" s="176"/>
      <c r="CG12" s="176"/>
      <c r="CH12" s="176"/>
      <c r="CI12" s="176"/>
      <c r="CJ12" s="176"/>
      <c r="CK12" s="176"/>
      <c r="CL12" s="176"/>
      <c r="CM12" s="176"/>
      <c r="CN12" s="176"/>
      <c r="CO12" s="176"/>
      <c r="CP12" s="176"/>
      <c r="CQ12" s="176"/>
      <c r="CR12" s="176"/>
      <c r="CS12" s="176"/>
      <c r="CT12" s="176"/>
      <c r="CU12" s="176"/>
      <c r="CV12" s="176"/>
      <c r="CW12" s="176"/>
      <c r="CX12" s="176"/>
      <c r="CY12" s="176"/>
      <c r="CZ12" s="176"/>
      <c r="DA12" s="176"/>
      <c r="DB12" s="176"/>
      <c r="DC12" s="176"/>
      <c r="DD12" s="176"/>
      <c r="DE12" s="176"/>
      <c r="DF12" s="176"/>
      <c r="DG12" s="176"/>
      <c r="DH12" s="176"/>
      <c r="DI12" s="176"/>
      <c r="DJ12" s="176"/>
      <c r="DK12" s="176"/>
      <c r="DL12" s="176"/>
      <c r="DM12" s="176"/>
      <c r="DN12" s="176"/>
      <c r="DO12" s="176"/>
      <c r="DP12" s="176"/>
      <c r="DQ12" s="176"/>
      <c r="DR12" s="176"/>
      <c r="DS12" s="176"/>
      <c r="DT12" s="176"/>
      <c r="DU12" s="176"/>
      <c r="DV12" s="176"/>
      <c r="DW12" s="176"/>
      <c r="DX12" s="176"/>
      <c r="DY12" s="176"/>
      <c r="DZ12" s="176"/>
      <c r="EA12" s="176"/>
      <c r="EB12" s="176"/>
      <c r="EC12" s="176"/>
      <c r="ED12" s="176"/>
      <c r="EE12" s="176"/>
      <c r="EF12" s="176"/>
      <c r="EG12" s="176"/>
      <c r="EH12" s="176"/>
      <c r="EI12" s="176"/>
      <c r="EJ12" s="176"/>
      <c r="EK12" s="176"/>
      <c r="EL12" s="176"/>
      <c r="EM12" s="176"/>
      <c r="EN12" s="176"/>
      <c r="EO12" s="176"/>
      <c r="EP12" s="176"/>
      <c r="EQ12" s="176"/>
      <c r="ER12" s="176"/>
      <c r="ES12" s="176"/>
      <c r="ET12" s="176"/>
      <c r="EU12" s="176"/>
      <c r="EV12" s="176"/>
      <c r="EW12" s="176"/>
      <c r="EX12" s="176"/>
      <c r="EY12" s="176"/>
      <c r="EZ12" s="176"/>
      <c r="FA12" s="176"/>
      <c r="FB12" s="176"/>
      <c r="FC12" s="176"/>
      <c r="FD12" s="176"/>
      <c r="FE12" s="176"/>
      <c r="FF12" s="176"/>
      <c r="FG12" s="176"/>
      <c r="FH12" s="176"/>
      <c r="FI12" s="176"/>
      <c r="FJ12" s="176"/>
      <c r="FK12" s="176"/>
      <c r="FL12" s="176"/>
      <c r="FM12" s="176"/>
      <c r="FN12" s="176"/>
      <c r="FO12" s="176"/>
      <c r="FP12" s="176"/>
      <c r="FQ12" s="176"/>
      <c r="FR12" s="176"/>
      <c r="FS12" s="176"/>
      <c r="FT12" s="176"/>
      <c r="FU12" s="176"/>
      <c r="FV12" s="176"/>
      <c r="FW12" s="176"/>
      <c r="FX12" s="176"/>
      <c r="FY12" s="176"/>
      <c r="FZ12" s="176"/>
      <c r="GA12" s="176"/>
      <c r="GB12" s="176"/>
      <c r="GC12" s="176"/>
      <c r="GD12" s="176"/>
      <c r="GE12" s="176"/>
      <c r="GF12" s="176"/>
      <c r="GG12" s="176"/>
      <c r="GH12" s="176"/>
      <c r="GI12" s="176"/>
      <c r="GJ12" s="176"/>
      <c r="GK12" s="176"/>
      <c r="GL12" s="176"/>
      <c r="GM12" s="176"/>
      <c r="GN12" s="176"/>
      <c r="GO12" s="176"/>
      <c r="GP12" s="176"/>
      <c r="GQ12" s="176"/>
      <c r="GR12" s="176"/>
      <c r="GS12" s="176"/>
      <c r="GT12" s="176"/>
      <c r="GU12" s="176"/>
      <c r="GV12" s="176"/>
      <c r="GW12" s="176"/>
      <c r="GX12" s="176"/>
      <c r="GY12" s="176"/>
      <c r="GZ12" s="176"/>
      <c r="HA12" s="176"/>
      <c r="HB12" s="176"/>
      <c r="HC12" s="176"/>
      <c r="HD12" s="176"/>
      <c r="HE12" s="176"/>
      <c r="HF12" s="176"/>
      <c r="HG12" s="176"/>
      <c r="HH12" s="176"/>
      <c r="HI12" s="176"/>
      <c r="HJ12" s="176"/>
      <c r="HK12" s="176"/>
      <c r="HL12" s="176"/>
      <c r="HM12" s="176"/>
      <c r="HN12" s="176"/>
      <c r="HO12" s="176"/>
      <c r="HP12" s="176"/>
      <c r="HQ12" s="176"/>
      <c r="HR12" s="176"/>
      <c r="HS12" s="176"/>
      <c r="HT12" s="176"/>
      <c r="HU12" s="176"/>
      <c r="HV12" s="176"/>
      <c r="HW12" s="176"/>
      <c r="HX12" s="176"/>
      <c r="HY12" s="176"/>
      <c r="HZ12" s="176"/>
      <c r="IA12" s="176"/>
      <c r="IB12" s="176"/>
      <c r="IC12" s="176"/>
      <c r="ID12" s="176"/>
      <c r="IE12" s="176"/>
      <c r="IF12" s="176"/>
      <c r="IG12" s="176"/>
      <c r="IH12" s="176"/>
      <c r="II12" s="176"/>
      <c r="IJ12" s="176"/>
      <c r="IK12" s="176"/>
      <c r="IL12" s="176"/>
      <c r="IM12" s="176"/>
      <c r="IN12" s="176"/>
      <c r="IO12" s="176"/>
      <c r="IP12" s="176"/>
      <c r="IQ12" s="176"/>
      <c r="IR12" s="176"/>
      <c r="IS12" s="176"/>
      <c r="IT12" s="176"/>
      <c r="IU12" s="176"/>
      <c r="IV12" s="176"/>
      <c r="IW12" s="176"/>
    </row>
    <row r="13" spans="1:257" s="367" customFormat="1" x14ac:dyDescent="0.25">
      <c r="A13" s="241"/>
      <c r="B13" s="135">
        <v>2</v>
      </c>
      <c r="C13" s="243" t="s">
        <v>466</v>
      </c>
      <c r="D13" s="396"/>
      <c r="E13" s="403">
        <f>E14</f>
        <v>15000000</v>
      </c>
      <c r="F13" s="133"/>
      <c r="G13" s="403">
        <f>G14</f>
        <v>23500000</v>
      </c>
      <c r="H13" s="396"/>
      <c r="I13" s="241"/>
      <c r="J13" s="241"/>
      <c r="K13" s="241"/>
      <c r="L13" s="241"/>
      <c r="M13" s="241"/>
      <c r="N13" s="241"/>
      <c r="O13" s="241"/>
      <c r="P13" s="241"/>
      <c r="Q13" s="241"/>
      <c r="R13" s="241"/>
      <c r="S13" s="241"/>
      <c r="T13" s="241"/>
      <c r="U13" s="241"/>
      <c r="V13" s="241"/>
      <c r="W13" s="241"/>
      <c r="X13" s="241"/>
      <c r="Y13" s="241"/>
      <c r="Z13" s="241"/>
      <c r="AA13" s="241"/>
      <c r="AB13" s="241"/>
      <c r="AC13" s="241"/>
      <c r="AD13" s="241"/>
      <c r="AE13" s="241"/>
      <c r="AF13" s="241"/>
      <c r="AG13" s="241"/>
      <c r="AH13" s="241"/>
      <c r="AI13" s="241"/>
      <c r="AJ13" s="241"/>
      <c r="AK13" s="241"/>
      <c r="AL13" s="241"/>
      <c r="AM13" s="241"/>
      <c r="AN13" s="241"/>
      <c r="AO13" s="241"/>
      <c r="AP13" s="241"/>
      <c r="AQ13" s="241"/>
      <c r="AR13" s="241"/>
      <c r="AS13" s="241"/>
      <c r="AT13" s="241"/>
      <c r="AU13" s="241"/>
      <c r="AV13" s="241"/>
      <c r="AW13" s="241"/>
      <c r="AX13" s="241"/>
      <c r="AY13" s="241"/>
      <c r="AZ13" s="241"/>
      <c r="BA13" s="241"/>
      <c r="BB13" s="241"/>
      <c r="BC13" s="241"/>
      <c r="BD13" s="241"/>
      <c r="BE13" s="241"/>
      <c r="BF13" s="241"/>
      <c r="BG13" s="241"/>
      <c r="BH13" s="241"/>
      <c r="BI13" s="241"/>
      <c r="BJ13" s="241"/>
      <c r="BK13" s="241"/>
      <c r="BL13" s="241"/>
      <c r="BM13" s="241"/>
      <c r="BN13" s="241"/>
      <c r="BO13" s="241"/>
      <c r="BP13" s="241"/>
      <c r="BQ13" s="241"/>
      <c r="BR13" s="241"/>
      <c r="BS13" s="241"/>
      <c r="BT13" s="241"/>
      <c r="BU13" s="241"/>
      <c r="BV13" s="241"/>
      <c r="BW13" s="241"/>
      <c r="BX13" s="241"/>
      <c r="BY13" s="241"/>
      <c r="BZ13" s="241"/>
      <c r="CA13" s="241"/>
      <c r="CB13" s="241"/>
      <c r="CC13" s="241"/>
      <c r="CD13" s="241"/>
      <c r="CE13" s="241"/>
      <c r="CF13" s="241"/>
      <c r="CG13" s="241"/>
      <c r="CH13" s="241"/>
      <c r="CI13" s="241"/>
      <c r="CJ13" s="241"/>
      <c r="CK13" s="241"/>
      <c r="CL13" s="241"/>
      <c r="CM13" s="241"/>
      <c r="CN13" s="241"/>
      <c r="CO13" s="241"/>
      <c r="CP13" s="241"/>
      <c r="CQ13" s="241"/>
      <c r="CR13" s="241"/>
      <c r="CS13" s="241"/>
      <c r="CT13" s="241"/>
      <c r="CU13" s="241"/>
      <c r="CV13" s="241"/>
      <c r="CW13" s="241"/>
      <c r="CX13" s="241"/>
      <c r="CY13" s="241"/>
      <c r="CZ13" s="241"/>
      <c r="DA13" s="241"/>
      <c r="DB13" s="241"/>
      <c r="DC13" s="241"/>
      <c r="DD13" s="241"/>
      <c r="DE13" s="241"/>
      <c r="DF13" s="241"/>
      <c r="DG13" s="241"/>
      <c r="DH13" s="241"/>
      <c r="DI13" s="241"/>
      <c r="DJ13" s="241"/>
      <c r="DK13" s="241"/>
      <c r="DL13" s="241"/>
      <c r="DM13" s="241"/>
      <c r="DN13" s="241"/>
      <c r="DO13" s="241"/>
      <c r="DP13" s="241"/>
      <c r="DQ13" s="241"/>
      <c r="DR13" s="241"/>
      <c r="DS13" s="241"/>
      <c r="DT13" s="241"/>
      <c r="DU13" s="241"/>
      <c r="DV13" s="241"/>
      <c r="DW13" s="241"/>
      <c r="DX13" s="241"/>
      <c r="DY13" s="241"/>
      <c r="DZ13" s="241"/>
      <c r="EA13" s="241"/>
      <c r="EB13" s="241"/>
      <c r="EC13" s="241"/>
      <c r="ED13" s="241"/>
      <c r="EE13" s="241"/>
      <c r="EF13" s="241"/>
      <c r="EG13" s="241"/>
      <c r="EH13" s="241"/>
      <c r="EI13" s="241"/>
      <c r="EJ13" s="241"/>
      <c r="EK13" s="241"/>
      <c r="EL13" s="241"/>
      <c r="EM13" s="241"/>
      <c r="EN13" s="241"/>
      <c r="EO13" s="241"/>
      <c r="EP13" s="241"/>
      <c r="EQ13" s="241"/>
      <c r="ER13" s="241"/>
      <c r="ES13" s="241"/>
      <c r="ET13" s="241"/>
      <c r="EU13" s="241"/>
      <c r="EV13" s="241"/>
      <c r="EW13" s="241"/>
      <c r="EX13" s="241"/>
      <c r="EY13" s="241"/>
      <c r="EZ13" s="241"/>
      <c r="FA13" s="241"/>
      <c r="FB13" s="241"/>
      <c r="FC13" s="241"/>
      <c r="FD13" s="241"/>
      <c r="FE13" s="241"/>
      <c r="FF13" s="241"/>
      <c r="FG13" s="241"/>
      <c r="FH13" s="241"/>
      <c r="FI13" s="241"/>
      <c r="FJ13" s="241"/>
      <c r="FK13" s="241"/>
      <c r="FL13" s="241"/>
      <c r="FM13" s="241"/>
      <c r="FN13" s="241"/>
      <c r="FO13" s="241"/>
      <c r="FP13" s="241"/>
      <c r="FQ13" s="241"/>
      <c r="FR13" s="241"/>
      <c r="FS13" s="241"/>
      <c r="FT13" s="241"/>
      <c r="FU13" s="241"/>
      <c r="FV13" s="241"/>
      <c r="FW13" s="241"/>
      <c r="FX13" s="241"/>
      <c r="FY13" s="241"/>
      <c r="FZ13" s="241"/>
      <c r="GA13" s="241"/>
      <c r="GB13" s="241"/>
      <c r="GC13" s="241"/>
      <c r="GD13" s="241"/>
      <c r="GE13" s="241"/>
      <c r="GF13" s="241"/>
      <c r="GG13" s="241"/>
      <c r="GH13" s="241"/>
      <c r="GI13" s="241"/>
      <c r="GJ13" s="241"/>
      <c r="GK13" s="241"/>
      <c r="GL13" s="241"/>
      <c r="GM13" s="241"/>
      <c r="GN13" s="241"/>
      <c r="GO13" s="241"/>
      <c r="GP13" s="241"/>
      <c r="GQ13" s="241"/>
      <c r="GR13" s="241"/>
      <c r="GS13" s="241"/>
      <c r="GT13" s="241"/>
      <c r="GU13" s="241"/>
      <c r="GV13" s="241"/>
      <c r="GW13" s="241"/>
      <c r="GX13" s="241"/>
      <c r="GY13" s="241"/>
      <c r="GZ13" s="241"/>
      <c r="HA13" s="241"/>
      <c r="HB13" s="241"/>
      <c r="HC13" s="241"/>
      <c r="HD13" s="241"/>
      <c r="HE13" s="241"/>
      <c r="HF13" s="241"/>
      <c r="HG13" s="241"/>
      <c r="HH13" s="241"/>
      <c r="HI13" s="241"/>
      <c r="HJ13" s="241"/>
      <c r="HK13" s="241"/>
      <c r="HL13" s="241"/>
      <c r="HM13" s="241"/>
      <c r="HN13" s="241"/>
      <c r="HO13" s="241"/>
      <c r="HP13" s="241"/>
      <c r="HQ13" s="241"/>
      <c r="HR13" s="241"/>
      <c r="HS13" s="241"/>
      <c r="HT13" s="241"/>
      <c r="HU13" s="241"/>
      <c r="HV13" s="241"/>
      <c r="HW13" s="241"/>
      <c r="HX13" s="241"/>
      <c r="HY13" s="241"/>
      <c r="HZ13" s="241"/>
      <c r="IA13" s="241"/>
      <c r="IB13" s="241"/>
      <c r="IC13" s="241"/>
      <c r="ID13" s="241"/>
      <c r="IE13" s="241"/>
      <c r="IF13" s="241"/>
      <c r="IG13" s="241"/>
      <c r="IH13" s="241"/>
      <c r="II13" s="241"/>
      <c r="IJ13" s="241"/>
      <c r="IK13" s="241"/>
      <c r="IL13" s="241"/>
      <c r="IM13" s="241"/>
      <c r="IN13" s="241"/>
      <c r="IO13" s="241"/>
      <c r="IP13" s="241"/>
      <c r="IQ13" s="241"/>
      <c r="IR13" s="241"/>
      <c r="IS13" s="241"/>
      <c r="IT13" s="241"/>
      <c r="IU13" s="241"/>
      <c r="IV13" s="241"/>
      <c r="IW13" s="241"/>
    </row>
    <row r="14" spans="1:257" x14ac:dyDescent="0.25">
      <c r="A14" s="176"/>
      <c r="B14" s="127"/>
      <c r="C14" s="395" t="s">
        <v>477</v>
      </c>
      <c r="D14" s="126"/>
      <c r="E14" s="765">
        <v>15000000</v>
      </c>
      <c r="F14" s="129"/>
      <c r="G14" s="130">
        <f>'SUM LAPAK'!C44</f>
        <v>23500000</v>
      </c>
      <c r="H14" s="126"/>
      <c r="I14" s="176"/>
      <c r="J14" s="139"/>
      <c r="K14" s="176"/>
      <c r="L14" s="176"/>
      <c r="M14" s="176"/>
      <c r="N14" s="176"/>
      <c r="O14" s="176"/>
      <c r="P14" s="176"/>
      <c r="Q14" s="176"/>
      <c r="R14" s="176"/>
      <c r="S14" s="176"/>
      <c r="T14" s="176"/>
      <c r="U14" s="176"/>
      <c r="V14" s="176"/>
      <c r="W14" s="176"/>
      <c r="X14" s="176"/>
      <c r="Y14" s="176"/>
      <c r="Z14" s="176"/>
      <c r="AA14" s="176"/>
      <c r="AB14" s="176"/>
      <c r="AC14" s="176"/>
      <c r="AD14" s="176"/>
      <c r="AE14" s="176"/>
      <c r="AF14" s="176"/>
      <c r="AG14" s="176"/>
      <c r="AH14" s="176"/>
      <c r="AI14" s="176"/>
      <c r="AJ14" s="176"/>
      <c r="AK14" s="176"/>
      <c r="AL14" s="176"/>
      <c r="AM14" s="176"/>
      <c r="AN14" s="176"/>
      <c r="AO14" s="176"/>
      <c r="AP14" s="176"/>
      <c r="AQ14" s="176"/>
      <c r="AR14" s="176"/>
      <c r="AS14" s="176"/>
      <c r="AT14" s="176"/>
      <c r="AU14" s="176"/>
      <c r="AV14" s="176"/>
      <c r="AW14" s="176"/>
      <c r="AX14" s="176"/>
      <c r="AY14" s="176"/>
      <c r="AZ14" s="176"/>
      <c r="BA14" s="176"/>
      <c r="BB14" s="176"/>
      <c r="BC14" s="176"/>
      <c r="BD14" s="176"/>
      <c r="BE14" s="176"/>
      <c r="BF14" s="176"/>
      <c r="BG14" s="176"/>
      <c r="BH14" s="176"/>
      <c r="BI14" s="176"/>
      <c r="BJ14" s="176"/>
      <c r="BK14" s="176"/>
      <c r="BL14" s="176"/>
      <c r="BM14" s="176"/>
      <c r="BN14" s="176"/>
      <c r="BO14" s="176"/>
      <c r="BP14" s="176"/>
      <c r="BQ14" s="176"/>
      <c r="BR14" s="176"/>
      <c r="BS14" s="176"/>
      <c r="BT14" s="176"/>
      <c r="BU14" s="176"/>
      <c r="BV14" s="176"/>
      <c r="BW14" s="176"/>
      <c r="BX14" s="176"/>
      <c r="BY14" s="176"/>
      <c r="BZ14" s="176"/>
      <c r="CA14" s="176"/>
      <c r="CB14" s="176"/>
      <c r="CC14" s="176"/>
      <c r="CD14" s="176"/>
      <c r="CE14" s="176"/>
      <c r="CF14" s="176"/>
      <c r="CG14" s="176"/>
      <c r="CH14" s="176"/>
      <c r="CI14" s="176"/>
      <c r="CJ14" s="176"/>
      <c r="CK14" s="176"/>
      <c r="CL14" s="176"/>
      <c r="CM14" s="176"/>
      <c r="CN14" s="176"/>
      <c r="CO14" s="176"/>
      <c r="CP14" s="176"/>
      <c r="CQ14" s="176"/>
      <c r="CR14" s="176"/>
      <c r="CS14" s="176"/>
      <c r="CT14" s="176"/>
      <c r="CU14" s="176"/>
      <c r="CV14" s="176"/>
      <c r="CW14" s="176"/>
      <c r="CX14" s="176"/>
      <c r="CY14" s="176"/>
      <c r="CZ14" s="176"/>
      <c r="DA14" s="176"/>
      <c r="DB14" s="176"/>
      <c r="DC14" s="176"/>
      <c r="DD14" s="176"/>
      <c r="DE14" s="176"/>
      <c r="DF14" s="176"/>
      <c r="DG14" s="176"/>
      <c r="DH14" s="176"/>
      <c r="DI14" s="176"/>
      <c r="DJ14" s="176"/>
      <c r="DK14" s="176"/>
      <c r="DL14" s="176"/>
      <c r="DM14" s="176"/>
      <c r="DN14" s="176"/>
      <c r="DO14" s="176"/>
      <c r="DP14" s="176"/>
      <c r="DQ14" s="176"/>
      <c r="DR14" s="176"/>
      <c r="DS14" s="176"/>
      <c r="DT14" s="176"/>
      <c r="DU14" s="176"/>
      <c r="DV14" s="176"/>
      <c r="DW14" s="176"/>
      <c r="DX14" s="176"/>
      <c r="DY14" s="176"/>
      <c r="DZ14" s="176"/>
      <c r="EA14" s="176"/>
      <c r="EB14" s="176"/>
      <c r="EC14" s="176"/>
      <c r="ED14" s="176"/>
      <c r="EE14" s="176"/>
      <c r="EF14" s="176"/>
      <c r="EG14" s="176"/>
      <c r="EH14" s="176"/>
      <c r="EI14" s="176"/>
      <c r="EJ14" s="176"/>
      <c r="EK14" s="176"/>
      <c r="EL14" s="176"/>
      <c r="EM14" s="176"/>
      <c r="EN14" s="176"/>
      <c r="EO14" s="176"/>
      <c r="EP14" s="176"/>
      <c r="EQ14" s="176"/>
      <c r="ER14" s="176"/>
      <c r="ES14" s="176"/>
      <c r="ET14" s="176"/>
      <c r="EU14" s="176"/>
      <c r="EV14" s="176"/>
      <c r="EW14" s="176"/>
      <c r="EX14" s="176"/>
      <c r="EY14" s="176"/>
      <c r="EZ14" s="176"/>
      <c r="FA14" s="176"/>
      <c r="FB14" s="176"/>
      <c r="FC14" s="176"/>
      <c r="FD14" s="176"/>
      <c r="FE14" s="176"/>
      <c r="FF14" s="176"/>
      <c r="FG14" s="176"/>
      <c r="FH14" s="176"/>
      <c r="FI14" s="176"/>
      <c r="FJ14" s="176"/>
      <c r="FK14" s="176"/>
      <c r="FL14" s="176"/>
      <c r="FM14" s="176"/>
      <c r="FN14" s="176"/>
      <c r="FO14" s="176"/>
      <c r="FP14" s="176"/>
      <c r="FQ14" s="176"/>
      <c r="FR14" s="176"/>
      <c r="FS14" s="176"/>
      <c r="FT14" s="176"/>
      <c r="FU14" s="176"/>
      <c r="FV14" s="176"/>
      <c r="FW14" s="176"/>
      <c r="FX14" s="176"/>
      <c r="FY14" s="176"/>
      <c r="FZ14" s="176"/>
      <c r="GA14" s="176"/>
      <c r="GB14" s="176"/>
      <c r="GC14" s="176"/>
      <c r="GD14" s="176"/>
      <c r="GE14" s="176"/>
      <c r="GF14" s="176"/>
      <c r="GG14" s="176"/>
      <c r="GH14" s="176"/>
      <c r="GI14" s="176"/>
      <c r="GJ14" s="176"/>
      <c r="GK14" s="176"/>
      <c r="GL14" s="176"/>
      <c r="GM14" s="176"/>
      <c r="GN14" s="176"/>
      <c r="GO14" s="176"/>
      <c r="GP14" s="176"/>
      <c r="GQ14" s="176"/>
      <c r="GR14" s="176"/>
      <c r="GS14" s="176"/>
      <c r="GT14" s="176"/>
      <c r="GU14" s="176"/>
      <c r="GV14" s="176"/>
      <c r="GW14" s="176"/>
      <c r="GX14" s="176"/>
      <c r="GY14" s="176"/>
      <c r="GZ14" s="176"/>
      <c r="HA14" s="176"/>
      <c r="HB14" s="176"/>
      <c r="HC14" s="176"/>
      <c r="HD14" s="176"/>
      <c r="HE14" s="176"/>
      <c r="HF14" s="176"/>
      <c r="HG14" s="176"/>
      <c r="HH14" s="176"/>
      <c r="HI14" s="176"/>
      <c r="HJ14" s="176"/>
      <c r="HK14" s="176"/>
      <c r="HL14" s="176"/>
      <c r="HM14" s="176"/>
      <c r="HN14" s="176"/>
      <c r="HO14" s="176"/>
      <c r="HP14" s="176"/>
      <c r="HQ14" s="176"/>
      <c r="HR14" s="176"/>
      <c r="HS14" s="176"/>
      <c r="HT14" s="176"/>
      <c r="HU14" s="176"/>
      <c r="HV14" s="176"/>
      <c r="HW14" s="176"/>
      <c r="HX14" s="176"/>
      <c r="HY14" s="176"/>
      <c r="HZ14" s="176"/>
      <c r="IA14" s="176"/>
      <c r="IB14" s="176"/>
      <c r="IC14" s="176"/>
      <c r="ID14" s="176"/>
      <c r="IE14" s="176"/>
      <c r="IF14" s="176"/>
      <c r="IG14" s="176"/>
      <c r="IH14" s="176"/>
      <c r="II14" s="176"/>
      <c r="IJ14" s="176"/>
      <c r="IK14" s="176"/>
      <c r="IL14" s="176"/>
      <c r="IM14" s="176"/>
      <c r="IN14" s="176"/>
      <c r="IO14" s="176"/>
      <c r="IP14" s="176"/>
      <c r="IQ14" s="176"/>
      <c r="IR14" s="176"/>
      <c r="IS14" s="176"/>
      <c r="IT14" s="176"/>
      <c r="IU14" s="176"/>
      <c r="IV14" s="176"/>
      <c r="IW14" s="176"/>
    </row>
    <row r="15" spans="1:257" x14ac:dyDescent="0.25">
      <c r="A15" s="176"/>
      <c r="B15" s="127"/>
      <c r="C15" s="378"/>
      <c r="D15" s="126"/>
      <c r="E15" s="129"/>
      <c r="F15" s="129"/>
      <c r="G15" s="130"/>
      <c r="H15" s="126"/>
      <c r="I15" s="176"/>
      <c r="J15" s="176"/>
      <c r="K15" s="176"/>
      <c r="L15" s="176"/>
      <c r="M15" s="176"/>
      <c r="N15" s="176"/>
      <c r="O15" s="176"/>
      <c r="P15" s="176"/>
      <c r="Q15" s="176"/>
      <c r="R15" s="176"/>
      <c r="S15" s="176"/>
      <c r="T15" s="176"/>
      <c r="U15" s="176"/>
      <c r="V15" s="176"/>
      <c r="W15" s="176"/>
      <c r="X15" s="176"/>
      <c r="Y15" s="176"/>
      <c r="Z15" s="176"/>
      <c r="AA15" s="176"/>
      <c r="AB15" s="176"/>
      <c r="AC15" s="176"/>
      <c r="AD15" s="176"/>
      <c r="AE15" s="176"/>
      <c r="AF15" s="176"/>
      <c r="AG15" s="176"/>
      <c r="AH15" s="176"/>
      <c r="AI15" s="176"/>
      <c r="AJ15" s="176"/>
      <c r="AK15" s="176"/>
      <c r="AL15" s="176"/>
      <c r="AM15" s="176"/>
      <c r="AN15" s="176"/>
      <c r="AO15" s="176"/>
      <c r="AP15" s="176"/>
      <c r="AQ15" s="176"/>
      <c r="AR15" s="176"/>
      <c r="AS15" s="176"/>
      <c r="AT15" s="176"/>
      <c r="AU15" s="176"/>
      <c r="AV15" s="176"/>
      <c r="AW15" s="176"/>
      <c r="AX15" s="176"/>
      <c r="AY15" s="176"/>
      <c r="AZ15" s="176"/>
      <c r="BA15" s="176"/>
      <c r="BB15" s="176"/>
      <c r="BC15" s="176"/>
      <c r="BD15" s="176"/>
      <c r="BE15" s="176"/>
      <c r="BF15" s="176"/>
      <c r="BG15" s="176"/>
      <c r="BH15" s="176"/>
      <c r="BI15" s="176"/>
      <c r="BJ15" s="176"/>
      <c r="BK15" s="176"/>
      <c r="BL15" s="176"/>
      <c r="BM15" s="176"/>
      <c r="BN15" s="176"/>
      <c r="BO15" s="176"/>
      <c r="BP15" s="176"/>
      <c r="BQ15" s="176"/>
      <c r="BR15" s="176"/>
      <c r="BS15" s="176"/>
      <c r="BT15" s="176"/>
      <c r="BU15" s="176"/>
      <c r="BV15" s="176"/>
      <c r="BW15" s="176"/>
      <c r="BX15" s="176"/>
      <c r="BY15" s="176"/>
      <c r="BZ15" s="176"/>
      <c r="CA15" s="176"/>
      <c r="CB15" s="176"/>
      <c r="CC15" s="176"/>
      <c r="CD15" s="176"/>
      <c r="CE15" s="176"/>
      <c r="CF15" s="176"/>
      <c r="CG15" s="176"/>
      <c r="CH15" s="176"/>
      <c r="CI15" s="176"/>
      <c r="CJ15" s="176"/>
      <c r="CK15" s="176"/>
      <c r="CL15" s="176"/>
      <c r="CM15" s="176"/>
      <c r="CN15" s="176"/>
      <c r="CO15" s="176"/>
      <c r="CP15" s="176"/>
      <c r="CQ15" s="176"/>
      <c r="CR15" s="176"/>
      <c r="CS15" s="176"/>
      <c r="CT15" s="176"/>
      <c r="CU15" s="176"/>
      <c r="CV15" s="176"/>
      <c r="CW15" s="176"/>
      <c r="CX15" s="176"/>
      <c r="CY15" s="176"/>
      <c r="CZ15" s="176"/>
      <c r="DA15" s="176"/>
      <c r="DB15" s="176"/>
      <c r="DC15" s="176"/>
      <c r="DD15" s="176"/>
      <c r="DE15" s="176"/>
      <c r="DF15" s="176"/>
      <c r="DG15" s="176"/>
      <c r="DH15" s="176"/>
      <c r="DI15" s="176"/>
      <c r="DJ15" s="176"/>
      <c r="DK15" s="176"/>
      <c r="DL15" s="176"/>
      <c r="DM15" s="176"/>
      <c r="DN15" s="176"/>
      <c r="DO15" s="176"/>
      <c r="DP15" s="176"/>
      <c r="DQ15" s="176"/>
      <c r="DR15" s="176"/>
      <c r="DS15" s="176"/>
      <c r="DT15" s="176"/>
      <c r="DU15" s="176"/>
      <c r="DV15" s="176"/>
      <c r="DW15" s="176"/>
      <c r="DX15" s="176"/>
      <c r="DY15" s="176"/>
      <c r="DZ15" s="176"/>
      <c r="EA15" s="176"/>
      <c r="EB15" s="176"/>
      <c r="EC15" s="176"/>
      <c r="ED15" s="176"/>
      <c r="EE15" s="176"/>
      <c r="EF15" s="176"/>
      <c r="EG15" s="176"/>
      <c r="EH15" s="176"/>
      <c r="EI15" s="176"/>
      <c r="EJ15" s="176"/>
      <c r="EK15" s="176"/>
      <c r="EL15" s="176"/>
      <c r="EM15" s="176"/>
      <c r="EN15" s="176"/>
      <c r="EO15" s="176"/>
      <c r="EP15" s="176"/>
      <c r="EQ15" s="176"/>
      <c r="ER15" s="176"/>
      <c r="ES15" s="176"/>
      <c r="ET15" s="176"/>
      <c r="EU15" s="176"/>
      <c r="EV15" s="176"/>
      <c r="EW15" s="176"/>
      <c r="EX15" s="176"/>
      <c r="EY15" s="176"/>
      <c r="EZ15" s="176"/>
      <c r="FA15" s="176"/>
      <c r="FB15" s="176"/>
      <c r="FC15" s="176"/>
      <c r="FD15" s="176"/>
      <c r="FE15" s="176"/>
      <c r="FF15" s="176"/>
      <c r="FG15" s="176"/>
      <c r="FH15" s="176"/>
      <c r="FI15" s="176"/>
      <c r="FJ15" s="176"/>
      <c r="FK15" s="176"/>
      <c r="FL15" s="176"/>
      <c r="FM15" s="176"/>
      <c r="FN15" s="176"/>
      <c r="FO15" s="176"/>
      <c r="FP15" s="176"/>
      <c r="FQ15" s="176"/>
      <c r="FR15" s="176"/>
      <c r="FS15" s="176"/>
      <c r="FT15" s="176"/>
      <c r="FU15" s="176"/>
      <c r="FV15" s="176"/>
      <c r="FW15" s="176"/>
      <c r="FX15" s="176"/>
      <c r="FY15" s="176"/>
      <c r="FZ15" s="176"/>
      <c r="GA15" s="176"/>
      <c r="GB15" s="176"/>
      <c r="GC15" s="176"/>
      <c r="GD15" s="176"/>
      <c r="GE15" s="176"/>
      <c r="GF15" s="176"/>
      <c r="GG15" s="176"/>
      <c r="GH15" s="176"/>
      <c r="GI15" s="176"/>
      <c r="GJ15" s="176"/>
      <c r="GK15" s="176"/>
      <c r="GL15" s="176"/>
      <c r="GM15" s="176"/>
      <c r="GN15" s="176"/>
      <c r="GO15" s="176"/>
      <c r="GP15" s="176"/>
      <c r="GQ15" s="176"/>
      <c r="GR15" s="176"/>
      <c r="GS15" s="176"/>
      <c r="GT15" s="176"/>
      <c r="GU15" s="176"/>
      <c r="GV15" s="176"/>
      <c r="GW15" s="176"/>
      <c r="GX15" s="176"/>
      <c r="GY15" s="176"/>
      <c r="GZ15" s="176"/>
      <c r="HA15" s="176"/>
      <c r="HB15" s="176"/>
      <c r="HC15" s="176"/>
      <c r="HD15" s="176"/>
      <c r="HE15" s="176"/>
      <c r="HF15" s="176"/>
      <c r="HG15" s="176"/>
      <c r="HH15" s="176"/>
      <c r="HI15" s="176"/>
      <c r="HJ15" s="176"/>
      <c r="HK15" s="176"/>
      <c r="HL15" s="176"/>
      <c r="HM15" s="176"/>
      <c r="HN15" s="176"/>
      <c r="HO15" s="176"/>
      <c r="HP15" s="176"/>
      <c r="HQ15" s="176"/>
      <c r="HR15" s="176"/>
      <c r="HS15" s="176"/>
      <c r="HT15" s="176"/>
      <c r="HU15" s="176"/>
      <c r="HV15" s="176"/>
      <c r="HW15" s="176"/>
      <c r="HX15" s="176"/>
      <c r="HY15" s="176"/>
      <c r="HZ15" s="176"/>
      <c r="IA15" s="176"/>
      <c r="IB15" s="176"/>
      <c r="IC15" s="176"/>
      <c r="ID15" s="176"/>
      <c r="IE15" s="176"/>
      <c r="IF15" s="176"/>
      <c r="IG15" s="176"/>
      <c r="IH15" s="176"/>
      <c r="II15" s="176"/>
      <c r="IJ15" s="176"/>
      <c r="IK15" s="176"/>
      <c r="IL15" s="176"/>
      <c r="IM15" s="176"/>
      <c r="IN15" s="176"/>
      <c r="IO15" s="176"/>
      <c r="IP15" s="176"/>
      <c r="IQ15" s="176"/>
      <c r="IR15" s="176"/>
      <c r="IS15" s="176"/>
      <c r="IT15" s="176"/>
      <c r="IU15" s="176"/>
      <c r="IV15" s="176"/>
      <c r="IW15" s="176"/>
    </row>
    <row r="16" spans="1:257" x14ac:dyDescent="0.25">
      <c r="A16" s="176"/>
      <c r="B16" s="135">
        <v>3</v>
      </c>
      <c r="C16" s="243" t="s">
        <v>467</v>
      </c>
      <c r="D16" s="396"/>
      <c r="E16" s="403">
        <f>SUM(E17:E20)</f>
        <v>23850000</v>
      </c>
      <c r="F16" s="403">
        <f t="shared" ref="F16" si="0">SUM(F17:F20)</f>
        <v>0</v>
      </c>
      <c r="G16" s="403">
        <f>SUM(G17:G20)</f>
        <v>29950000</v>
      </c>
      <c r="H16" s="126"/>
      <c r="I16" s="176"/>
      <c r="J16" s="139"/>
      <c r="K16" s="176"/>
      <c r="L16" s="176"/>
      <c r="M16" s="176"/>
      <c r="N16" s="176"/>
      <c r="O16" s="176"/>
      <c r="P16" s="176"/>
      <c r="Q16" s="176"/>
      <c r="R16" s="176"/>
      <c r="S16" s="176"/>
      <c r="T16" s="176"/>
      <c r="U16" s="176"/>
      <c r="V16" s="176"/>
      <c r="W16" s="176"/>
      <c r="X16" s="176"/>
      <c r="Y16" s="176"/>
      <c r="Z16" s="176"/>
      <c r="AA16" s="176"/>
      <c r="AB16" s="176"/>
      <c r="AC16" s="176"/>
      <c r="AD16" s="176"/>
      <c r="AE16" s="176"/>
      <c r="AF16" s="176"/>
      <c r="AG16" s="176"/>
      <c r="AH16" s="176"/>
      <c r="AI16" s="176"/>
      <c r="AJ16" s="176"/>
      <c r="AK16" s="176"/>
      <c r="AL16" s="176"/>
      <c r="AM16" s="176"/>
      <c r="AN16" s="176"/>
      <c r="AO16" s="176"/>
      <c r="AP16" s="176"/>
      <c r="AQ16" s="176"/>
      <c r="AR16" s="176"/>
      <c r="AS16" s="176"/>
      <c r="AT16" s="176"/>
      <c r="AU16" s="176"/>
      <c r="AV16" s="176"/>
      <c r="AW16" s="176"/>
      <c r="AX16" s="176"/>
      <c r="AY16" s="176"/>
      <c r="AZ16" s="176"/>
      <c r="BA16" s="176"/>
      <c r="BB16" s="176"/>
      <c r="BC16" s="176"/>
      <c r="BD16" s="176"/>
      <c r="BE16" s="176"/>
      <c r="BF16" s="176"/>
      <c r="BG16" s="176"/>
      <c r="BH16" s="176"/>
      <c r="BI16" s="176"/>
      <c r="BJ16" s="176"/>
      <c r="BK16" s="176"/>
      <c r="BL16" s="176"/>
      <c r="BM16" s="176"/>
      <c r="BN16" s="176"/>
      <c r="BO16" s="176"/>
      <c r="BP16" s="176"/>
      <c r="BQ16" s="176"/>
      <c r="BR16" s="176"/>
      <c r="BS16" s="176"/>
      <c r="BT16" s="176"/>
      <c r="BU16" s="176"/>
      <c r="BV16" s="176"/>
      <c r="BW16" s="176"/>
      <c r="BX16" s="176"/>
      <c r="BY16" s="176"/>
      <c r="BZ16" s="176"/>
      <c r="CA16" s="176"/>
      <c r="CB16" s="176"/>
      <c r="CC16" s="176"/>
      <c r="CD16" s="176"/>
      <c r="CE16" s="176"/>
      <c r="CF16" s="176"/>
      <c r="CG16" s="176"/>
      <c r="CH16" s="176"/>
      <c r="CI16" s="176"/>
      <c r="CJ16" s="176"/>
      <c r="CK16" s="176"/>
      <c r="CL16" s="176"/>
      <c r="CM16" s="176"/>
      <c r="CN16" s="176"/>
      <c r="CO16" s="176"/>
      <c r="CP16" s="176"/>
      <c r="CQ16" s="176"/>
      <c r="CR16" s="176"/>
      <c r="CS16" s="176"/>
      <c r="CT16" s="176"/>
      <c r="CU16" s="176"/>
      <c r="CV16" s="176"/>
      <c r="CW16" s="176"/>
      <c r="CX16" s="176"/>
      <c r="CY16" s="176"/>
      <c r="CZ16" s="176"/>
      <c r="DA16" s="176"/>
      <c r="DB16" s="176"/>
      <c r="DC16" s="176"/>
      <c r="DD16" s="176"/>
      <c r="DE16" s="176"/>
      <c r="DF16" s="176"/>
      <c r="DG16" s="176"/>
      <c r="DH16" s="176"/>
      <c r="DI16" s="176"/>
      <c r="DJ16" s="176"/>
      <c r="DK16" s="176"/>
      <c r="DL16" s="176"/>
      <c r="DM16" s="176"/>
      <c r="DN16" s="176"/>
      <c r="DO16" s="176"/>
      <c r="DP16" s="176"/>
      <c r="DQ16" s="176"/>
      <c r="DR16" s="176"/>
      <c r="DS16" s="176"/>
      <c r="DT16" s="176"/>
      <c r="DU16" s="176"/>
      <c r="DV16" s="176"/>
      <c r="DW16" s="176"/>
      <c r="DX16" s="176"/>
      <c r="DY16" s="176"/>
      <c r="DZ16" s="176"/>
      <c r="EA16" s="176"/>
      <c r="EB16" s="176"/>
      <c r="EC16" s="176"/>
      <c r="ED16" s="176"/>
      <c r="EE16" s="176"/>
      <c r="EF16" s="176"/>
      <c r="EG16" s="176"/>
      <c r="EH16" s="176"/>
      <c r="EI16" s="176"/>
      <c r="EJ16" s="176"/>
      <c r="EK16" s="176"/>
      <c r="EL16" s="176"/>
      <c r="EM16" s="176"/>
      <c r="EN16" s="176"/>
      <c r="EO16" s="176"/>
      <c r="EP16" s="176"/>
      <c r="EQ16" s="176"/>
      <c r="ER16" s="176"/>
      <c r="ES16" s="176"/>
      <c r="ET16" s="176"/>
      <c r="EU16" s="176"/>
      <c r="EV16" s="176"/>
      <c r="EW16" s="176"/>
      <c r="EX16" s="176"/>
      <c r="EY16" s="176"/>
      <c r="EZ16" s="176"/>
      <c r="FA16" s="176"/>
      <c r="FB16" s="176"/>
      <c r="FC16" s="176"/>
      <c r="FD16" s="176"/>
      <c r="FE16" s="176"/>
      <c r="FF16" s="176"/>
      <c r="FG16" s="176"/>
      <c r="FH16" s="176"/>
      <c r="FI16" s="176"/>
      <c r="FJ16" s="176"/>
      <c r="FK16" s="176"/>
      <c r="FL16" s="176"/>
      <c r="FM16" s="176"/>
      <c r="FN16" s="176"/>
      <c r="FO16" s="176"/>
      <c r="FP16" s="176"/>
      <c r="FQ16" s="176"/>
      <c r="FR16" s="176"/>
      <c r="FS16" s="176"/>
      <c r="FT16" s="176"/>
      <c r="FU16" s="176"/>
      <c r="FV16" s="176"/>
      <c r="FW16" s="176"/>
      <c r="FX16" s="176"/>
      <c r="FY16" s="176"/>
      <c r="FZ16" s="176"/>
      <c r="GA16" s="176"/>
      <c r="GB16" s="176"/>
      <c r="GC16" s="176"/>
      <c r="GD16" s="176"/>
      <c r="GE16" s="176"/>
      <c r="GF16" s="176"/>
      <c r="GG16" s="176"/>
      <c r="GH16" s="176"/>
      <c r="GI16" s="176"/>
      <c r="GJ16" s="176"/>
      <c r="GK16" s="176"/>
      <c r="GL16" s="176"/>
      <c r="GM16" s="176"/>
      <c r="GN16" s="176"/>
      <c r="GO16" s="176"/>
      <c r="GP16" s="176"/>
      <c r="GQ16" s="176"/>
      <c r="GR16" s="176"/>
      <c r="GS16" s="176"/>
      <c r="GT16" s="176"/>
      <c r="GU16" s="176"/>
      <c r="GV16" s="176"/>
      <c r="GW16" s="176"/>
      <c r="GX16" s="176"/>
      <c r="GY16" s="176"/>
      <c r="GZ16" s="176"/>
      <c r="HA16" s="176"/>
      <c r="HB16" s="176"/>
      <c r="HC16" s="176"/>
      <c r="HD16" s="176"/>
      <c r="HE16" s="176"/>
      <c r="HF16" s="176"/>
      <c r="HG16" s="176"/>
      <c r="HH16" s="176"/>
      <c r="HI16" s="176"/>
      <c r="HJ16" s="176"/>
      <c r="HK16" s="176"/>
      <c r="HL16" s="176"/>
      <c r="HM16" s="176"/>
      <c r="HN16" s="176"/>
      <c r="HO16" s="176"/>
      <c r="HP16" s="176"/>
      <c r="HQ16" s="176"/>
      <c r="HR16" s="176"/>
      <c r="HS16" s="176"/>
      <c r="HT16" s="176"/>
      <c r="HU16" s="176"/>
      <c r="HV16" s="176"/>
      <c r="HW16" s="176"/>
      <c r="HX16" s="176"/>
      <c r="HY16" s="176"/>
      <c r="HZ16" s="176"/>
      <c r="IA16" s="176"/>
      <c r="IB16" s="176"/>
      <c r="IC16" s="176"/>
      <c r="ID16" s="176"/>
      <c r="IE16" s="176"/>
      <c r="IF16" s="176"/>
      <c r="IG16" s="176"/>
      <c r="IH16" s="176"/>
      <c r="II16" s="176"/>
      <c r="IJ16" s="176"/>
      <c r="IK16" s="176"/>
      <c r="IL16" s="176"/>
      <c r="IM16" s="176"/>
      <c r="IN16" s="176"/>
      <c r="IO16" s="176"/>
      <c r="IP16" s="176"/>
      <c r="IQ16" s="176"/>
      <c r="IR16" s="176"/>
      <c r="IS16" s="176"/>
      <c r="IT16" s="176"/>
      <c r="IU16" s="176"/>
      <c r="IV16" s="176"/>
      <c r="IW16" s="176"/>
    </row>
    <row r="17" spans="1:257" x14ac:dyDescent="0.25">
      <c r="A17" s="176"/>
      <c r="B17" s="127"/>
      <c r="C17" s="395" t="s">
        <v>478</v>
      </c>
      <c r="D17" s="126"/>
      <c r="E17" s="251">
        <v>13550000</v>
      </c>
      <c r="F17" s="129"/>
      <c r="G17" s="130">
        <f>gedung!J57</f>
        <v>16300000</v>
      </c>
      <c r="H17" s="126"/>
      <c r="I17" s="176"/>
      <c r="J17" s="176"/>
      <c r="K17" s="176"/>
      <c r="L17" s="176"/>
      <c r="M17" s="176"/>
      <c r="N17" s="176"/>
      <c r="O17" s="176"/>
      <c r="P17" s="176"/>
      <c r="Q17" s="176"/>
      <c r="R17" s="176"/>
      <c r="S17" s="176"/>
      <c r="T17" s="176"/>
      <c r="U17" s="176"/>
      <c r="V17" s="176"/>
      <c r="W17" s="176"/>
      <c r="X17" s="176"/>
      <c r="Y17" s="176"/>
      <c r="Z17" s="176"/>
      <c r="AA17" s="176"/>
      <c r="AB17" s="176"/>
      <c r="AC17" s="176"/>
      <c r="AD17" s="176"/>
      <c r="AE17" s="176"/>
      <c r="AF17" s="176"/>
      <c r="AG17" s="176"/>
      <c r="AH17" s="176"/>
      <c r="AI17" s="176"/>
      <c r="AJ17" s="176"/>
      <c r="AK17" s="176"/>
      <c r="AL17" s="176"/>
      <c r="AM17" s="176"/>
      <c r="AN17" s="176"/>
      <c r="AO17" s="176"/>
      <c r="AP17" s="176"/>
      <c r="AQ17" s="176"/>
      <c r="AR17" s="176"/>
      <c r="AS17" s="176"/>
      <c r="AT17" s="176"/>
      <c r="AU17" s="176"/>
      <c r="AV17" s="176"/>
      <c r="AW17" s="176"/>
      <c r="AX17" s="176"/>
      <c r="AY17" s="176"/>
      <c r="AZ17" s="176"/>
      <c r="BA17" s="176"/>
      <c r="BB17" s="176"/>
      <c r="BC17" s="176"/>
      <c r="BD17" s="176"/>
      <c r="BE17" s="176"/>
      <c r="BF17" s="176"/>
      <c r="BG17" s="176"/>
      <c r="BH17" s="176"/>
      <c r="BI17" s="176"/>
      <c r="BJ17" s="176"/>
      <c r="BK17" s="176"/>
      <c r="BL17" s="176"/>
      <c r="BM17" s="176"/>
      <c r="BN17" s="176"/>
      <c r="BO17" s="176"/>
      <c r="BP17" s="176"/>
      <c r="BQ17" s="176"/>
      <c r="BR17" s="176"/>
      <c r="BS17" s="176"/>
      <c r="BT17" s="176"/>
      <c r="BU17" s="176"/>
      <c r="BV17" s="176"/>
      <c r="BW17" s="176"/>
      <c r="BX17" s="176"/>
      <c r="BY17" s="176"/>
      <c r="BZ17" s="176"/>
      <c r="CA17" s="176"/>
      <c r="CB17" s="176"/>
      <c r="CC17" s="176"/>
      <c r="CD17" s="176"/>
      <c r="CE17" s="176"/>
      <c r="CF17" s="176"/>
      <c r="CG17" s="176"/>
      <c r="CH17" s="176"/>
      <c r="CI17" s="176"/>
      <c r="CJ17" s="176"/>
      <c r="CK17" s="176"/>
      <c r="CL17" s="176"/>
      <c r="CM17" s="176"/>
      <c r="CN17" s="176"/>
      <c r="CO17" s="176"/>
      <c r="CP17" s="176"/>
      <c r="CQ17" s="176"/>
      <c r="CR17" s="176"/>
      <c r="CS17" s="176"/>
      <c r="CT17" s="176"/>
      <c r="CU17" s="176"/>
      <c r="CV17" s="176"/>
      <c r="CW17" s="176"/>
      <c r="CX17" s="176"/>
      <c r="CY17" s="176"/>
      <c r="CZ17" s="176"/>
      <c r="DA17" s="176"/>
      <c r="DB17" s="176"/>
      <c r="DC17" s="176"/>
      <c r="DD17" s="176"/>
      <c r="DE17" s="176"/>
      <c r="DF17" s="176"/>
      <c r="DG17" s="176"/>
      <c r="DH17" s="176"/>
      <c r="DI17" s="176"/>
      <c r="DJ17" s="176"/>
      <c r="DK17" s="176"/>
      <c r="DL17" s="176"/>
      <c r="DM17" s="176"/>
      <c r="DN17" s="176"/>
      <c r="DO17" s="176"/>
      <c r="DP17" s="176"/>
      <c r="DQ17" s="176"/>
      <c r="DR17" s="176"/>
      <c r="DS17" s="176"/>
      <c r="DT17" s="176"/>
      <c r="DU17" s="176"/>
      <c r="DV17" s="176"/>
      <c r="DW17" s="176"/>
      <c r="DX17" s="176"/>
      <c r="DY17" s="176"/>
      <c r="DZ17" s="176"/>
      <c r="EA17" s="176"/>
      <c r="EB17" s="176"/>
      <c r="EC17" s="176"/>
      <c r="ED17" s="176"/>
      <c r="EE17" s="176"/>
      <c r="EF17" s="176"/>
      <c r="EG17" s="176"/>
      <c r="EH17" s="176"/>
      <c r="EI17" s="176"/>
      <c r="EJ17" s="176"/>
      <c r="EK17" s="176"/>
      <c r="EL17" s="176"/>
      <c r="EM17" s="176"/>
      <c r="EN17" s="176"/>
      <c r="EO17" s="176"/>
      <c r="EP17" s="176"/>
      <c r="EQ17" s="176"/>
      <c r="ER17" s="176"/>
      <c r="ES17" s="176"/>
      <c r="ET17" s="176"/>
      <c r="EU17" s="176"/>
      <c r="EV17" s="176"/>
      <c r="EW17" s="176"/>
      <c r="EX17" s="176"/>
      <c r="EY17" s="176"/>
      <c r="EZ17" s="176"/>
      <c r="FA17" s="176"/>
      <c r="FB17" s="176"/>
      <c r="FC17" s="176"/>
      <c r="FD17" s="176"/>
      <c r="FE17" s="176"/>
      <c r="FF17" s="176"/>
      <c r="FG17" s="176"/>
      <c r="FH17" s="176"/>
      <c r="FI17" s="176"/>
      <c r="FJ17" s="176"/>
      <c r="FK17" s="176"/>
      <c r="FL17" s="176"/>
      <c r="FM17" s="176"/>
      <c r="FN17" s="176"/>
      <c r="FO17" s="176"/>
      <c r="FP17" s="176"/>
      <c r="FQ17" s="176"/>
      <c r="FR17" s="176"/>
      <c r="FS17" s="176"/>
      <c r="FT17" s="176"/>
      <c r="FU17" s="176"/>
      <c r="FV17" s="176"/>
      <c r="FW17" s="176"/>
      <c r="FX17" s="176"/>
      <c r="FY17" s="176"/>
      <c r="FZ17" s="176"/>
      <c r="GA17" s="176"/>
      <c r="GB17" s="176"/>
      <c r="GC17" s="176"/>
      <c r="GD17" s="176"/>
      <c r="GE17" s="176"/>
      <c r="GF17" s="176"/>
      <c r="GG17" s="176"/>
      <c r="GH17" s="176"/>
      <c r="GI17" s="176"/>
      <c r="GJ17" s="176"/>
      <c r="GK17" s="176"/>
      <c r="GL17" s="176"/>
      <c r="GM17" s="176"/>
      <c r="GN17" s="176"/>
      <c r="GO17" s="176"/>
      <c r="GP17" s="176"/>
      <c r="GQ17" s="176"/>
      <c r="GR17" s="176"/>
      <c r="GS17" s="176"/>
      <c r="GT17" s="176"/>
      <c r="GU17" s="176"/>
      <c r="GV17" s="176"/>
      <c r="GW17" s="176"/>
      <c r="GX17" s="176"/>
      <c r="GY17" s="176"/>
      <c r="GZ17" s="176"/>
      <c r="HA17" s="176"/>
      <c r="HB17" s="176"/>
      <c r="HC17" s="176"/>
      <c r="HD17" s="176"/>
      <c r="HE17" s="176"/>
      <c r="HF17" s="176"/>
      <c r="HG17" s="176"/>
      <c r="HH17" s="176"/>
      <c r="HI17" s="176"/>
      <c r="HJ17" s="176"/>
      <c r="HK17" s="176"/>
      <c r="HL17" s="176"/>
      <c r="HM17" s="176"/>
      <c r="HN17" s="176"/>
      <c r="HO17" s="176"/>
      <c r="HP17" s="176"/>
      <c r="HQ17" s="176"/>
      <c r="HR17" s="176"/>
      <c r="HS17" s="176"/>
      <c r="HT17" s="176"/>
      <c r="HU17" s="176"/>
      <c r="HV17" s="176"/>
      <c r="HW17" s="176"/>
      <c r="HX17" s="176"/>
      <c r="HY17" s="176"/>
      <c r="HZ17" s="176"/>
      <c r="IA17" s="176"/>
      <c r="IB17" s="176"/>
      <c r="IC17" s="176"/>
      <c r="ID17" s="176"/>
      <c r="IE17" s="176"/>
      <c r="IF17" s="176"/>
      <c r="IG17" s="176"/>
      <c r="IH17" s="176"/>
      <c r="II17" s="176"/>
      <c r="IJ17" s="176"/>
      <c r="IK17" s="176"/>
      <c r="IL17" s="176"/>
      <c r="IM17" s="176"/>
      <c r="IN17" s="176"/>
      <c r="IO17" s="176"/>
      <c r="IP17" s="176"/>
      <c r="IQ17" s="176"/>
      <c r="IR17" s="176"/>
      <c r="IS17" s="176"/>
      <c r="IT17" s="176"/>
      <c r="IU17" s="176"/>
      <c r="IV17" s="176"/>
      <c r="IW17" s="176"/>
    </row>
    <row r="18" spans="1:257" x14ac:dyDescent="0.25">
      <c r="A18" s="176"/>
      <c r="B18" s="127"/>
      <c r="C18" s="395" t="s">
        <v>479</v>
      </c>
      <c r="D18" s="126"/>
      <c r="E18" s="251">
        <v>9600000</v>
      </c>
      <c r="F18" s="129"/>
      <c r="G18" s="130">
        <f>gedung!J58</f>
        <v>13050000</v>
      </c>
      <c r="H18" s="126"/>
      <c r="I18" s="176"/>
      <c r="J18" s="176"/>
      <c r="K18" s="176"/>
      <c r="L18" s="176"/>
      <c r="M18" s="176"/>
      <c r="N18" s="176"/>
      <c r="O18" s="176"/>
      <c r="P18" s="176"/>
      <c r="Q18" s="176"/>
      <c r="R18" s="176"/>
      <c r="S18" s="176"/>
      <c r="T18" s="176"/>
      <c r="U18" s="176"/>
      <c r="V18" s="176"/>
      <c r="W18" s="176"/>
      <c r="X18" s="176"/>
      <c r="Y18" s="176"/>
      <c r="Z18" s="176"/>
      <c r="AA18" s="176"/>
      <c r="AB18" s="176"/>
      <c r="AC18" s="176"/>
      <c r="AD18" s="176"/>
      <c r="AE18" s="176"/>
      <c r="AF18" s="176"/>
      <c r="AG18" s="176"/>
      <c r="AH18" s="176"/>
      <c r="AI18" s="176"/>
      <c r="AJ18" s="176"/>
      <c r="AK18" s="176"/>
      <c r="AL18" s="176"/>
      <c r="AM18" s="176"/>
      <c r="AN18" s="176"/>
      <c r="AO18" s="176"/>
      <c r="AP18" s="176"/>
      <c r="AQ18" s="176"/>
      <c r="AR18" s="176"/>
      <c r="AS18" s="176"/>
      <c r="AT18" s="176"/>
      <c r="AU18" s="176"/>
      <c r="AV18" s="176"/>
      <c r="AW18" s="176"/>
      <c r="AX18" s="176"/>
      <c r="AY18" s="176"/>
      <c r="AZ18" s="176"/>
      <c r="BA18" s="176"/>
      <c r="BB18" s="176"/>
      <c r="BC18" s="176"/>
      <c r="BD18" s="176"/>
      <c r="BE18" s="176"/>
      <c r="BF18" s="176"/>
      <c r="BG18" s="176"/>
      <c r="BH18" s="176"/>
      <c r="BI18" s="176"/>
      <c r="BJ18" s="176"/>
      <c r="BK18" s="176"/>
      <c r="BL18" s="176"/>
      <c r="BM18" s="176"/>
      <c r="BN18" s="176"/>
      <c r="BO18" s="176"/>
      <c r="BP18" s="176"/>
      <c r="BQ18" s="176"/>
      <c r="BR18" s="176"/>
      <c r="BS18" s="176"/>
      <c r="BT18" s="176"/>
      <c r="BU18" s="176"/>
      <c r="BV18" s="176"/>
      <c r="BW18" s="176"/>
      <c r="BX18" s="176"/>
      <c r="BY18" s="176"/>
      <c r="BZ18" s="176"/>
      <c r="CA18" s="176"/>
      <c r="CB18" s="176"/>
      <c r="CC18" s="176"/>
      <c r="CD18" s="176"/>
      <c r="CE18" s="176"/>
      <c r="CF18" s="176"/>
      <c r="CG18" s="176"/>
      <c r="CH18" s="176"/>
      <c r="CI18" s="176"/>
      <c r="CJ18" s="176"/>
      <c r="CK18" s="176"/>
      <c r="CL18" s="176"/>
      <c r="CM18" s="176"/>
      <c r="CN18" s="176"/>
      <c r="CO18" s="176"/>
      <c r="CP18" s="176"/>
      <c r="CQ18" s="176"/>
      <c r="CR18" s="176"/>
      <c r="CS18" s="176"/>
      <c r="CT18" s="176"/>
      <c r="CU18" s="176"/>
      <c r="CV18" s="176"/>
      <c r="CW18" s="176"/>
      <c r="CX18" s="176"/>
      <c r="CY18" s="176"/>
      <c r="CZ18" s="176"/>
      <c r="DA18" s="176"/>
      <c r="DB18" s="176"/>
      <c r="DC18" s="176"/>
      <c r="DD18" s="176"/>
      <c r="DE18" s="176"/>
      <c r="DF18" s="176"/>
      <c r="DG18" s="176"/>
      <c r="DH18" s="176"/>
      <c r="DI18" s="176"/>
      <c r="DJ18" s="176"/>
      <c r="DK18" s="176"/>
      <c r="DL18" s="176"/>
      <c r="DM18" s="176"/>
      <c r="DN18" s="176"/>
      <c r="DO18" s="176"/>
      <c r="DP18" s="176"/>
      <c r="DQ18" s="176"/>
      <c r="DR18" s="176"/>
      <c r="DS18" s="176"/>
      <c r="DT18" s="176"/>
      <c r="DU18" s="176"/>
      <c r="DV18" s="176"/>
      <c r="DW18" s="176"/>
      <c r="DX18" s="176"/>
      <c r="DY18" s="176"/>
      <c r="DZ18" s="176"/>
      <c r="EA18" s="176"/>
      <c r="EB18" s="176"/>
      <c r="EC18" s="176"/>
      <c r="ED18" s="176"/>
      <c r="EE18" s="176"/>
      <c r="EF18" s="176"/>
      <c r="EG18" s="176"/>
      <c r="EH18" s="176"/>
      <c r="EI18" s="176"/>
      <c r="EJ18" s="176"/>
      <c r="EK18" s="176"/>
      <c r="EL18" s="176"/>
      <c r="EM18" s="176"/>
      <c r="EN18" s="176"/>
      <c r="EO18" s="176"/>
      <c r="EP18" s="176"/>
      <c r="EQ18" s="176"/>
      <c r="ER18" s="176"/>
      <c r="ES18" s="176"/>
      <c r="ET18" s="176"/>
      <c r="EU18" s="176"/>
      <c r="EV18" s="176"/>
      <c r="EW18" s="176"/>
      <c r="EX18" s="176"/>
      <c r="EY18" s="176"/>
      <c r="EZ18" s="176"/>
      <c r="FA18" s="176"/>
      <c r="FB18" s="176"/>
      <c r="FC18" s="176"/>
      <c r="FD18" s="176"/>
      <c r="FE18" s="176"/>
      <c r="FF18" s="176"/>
      <c r="FG18" s="176"/>
      <c r="FH18" s="176"/>
      <c r="FI18" s="176"/>
      <c r="FJ18" s="176"/>
      <c r="FK18" s="176"/>
      <c r="FL18" s="176"/>
      <c r="FM18" s="176"/>
      <c r="FN18" s="176"/>
      <c r="FO18" s="176"/>
      <c r="FP18" s="176"/>
      <c r="FQ18" s="176"/>
      <c r="FR18" s="176"/>
      <c r="FS18" s="176"/>
      <c r="FT18" s="176"/>
      <c r="FU18" s="176"/>
      <c r="FV18" s="176"/>
      <c r="FW18" s="176"/>
      <c r="FX18" s="176"/>
      <c r="FY18" s="176"/>
      <c r="FZ18" s="176"/>
      <c r="GA18" s="176"/>
      <c r="GB18" s="176"/>
      <c r="GC18" s="176"/>
      <c r="GD18" s="176"/>
      <c r="GE18" s="176"/>
      <c r="GF18" s="176"/>
      <c r="GG18" s="176"/>
      <c r="GH18" s="176"/>
      <c r="GI18" s="176"/>
      <c r="GJ18" s="176"/>
      <c r="GK18" s="176"/>
      <c r="GL18" s="176"/>
      <c r="GM18" s="176"/>
      <c r="GN18" s="176"/>
      <c r="GO18" s="176"/>
      <c r="GP18" s="176"/>
      <c r="GQ18" s="176"/>
      <c r="GR18" s="176"/>
      <c r="GS18" s="176"/>
      <c r="GT18" s="176"/>
      <c r="GU18" s="176"/>
      <c r="GV18" s="176"/>
      <c r="GW18" s="176"/>
      <c r="GX18" s="176"/>
      <c r="GY18" s="176"/>
      <c r="GZ18" s="176"/>
      <c r="HA18" s="176"/>
      <c r="HB18" s="176"/>
      <c r="HC18" s="176"/>
      <c r="HD18" s="176"/>
      <c r="HE18" s="176"/>
      <c r="HF18" s="176"/>
      <c r="HG18" s="176"/>
      <c r="HH18" s="176"/>
      <c r="HI18" s="176"/>
      <c r="HJ18" s="176"/>
      <c r="HK18" s="176"/>
      <c r="HL18" s="176"/>
      <c r="HM18" s="176"/>
      <c r="HN18" s="176"/>
      <c r="HO18" s="176"/>
      <c r="HP18" s="176"/>
      <c r="HQ18" s="176"/>
      <c r="HR18" s="176"/>
      <c r="HS18" s="176"/>
      <c r="HT18" s="176"/>
      <c r="HU18" s="176"/>
      <c r="HV18" s="176"/>
      <c r="HW18" s="176"/>
      <c r="HX18" s="176"/>
      <c r="HY18" s="176"/>
      <c r="HZ18" s="176"/>
      <c r="IA18" s="176"/>
      <c r="IB18" s="176"/>
      <c r="IC18" s="176"/>
      <c r="ID18" s="176"/>
      <c r="IE18" s="176"/>
      <c r="IF18" s="176"/>
      <c r="IG18" s="176"/>
      <c r="IH18" s="176"/>
      <c r="II18" s="176"/>
      <c r="IJ18" s="176"/>
      <c r="IK18" s="176"/>
      <c r="IL18" s="176"/>
      <c r="IM18" s="176"/>
      <c r="IN18" s="176"/>
      <c r="IO18" s="176"/>
      <c r="IP18" s="176"/>
      <c r="IQ18" s="176"/>
      <c r="IR18" s="176"/>
      <c r="IS18" s="176"/>
      <c r="IT18" s="176"/>
      <c r="IU18" s="176"/>
      <c r="IV18" s="176"/>
      <c r="IW18" s="176"/>
    </row>
    <row r="19" spans="1:257" x14ac:dyDescent="0.25">
      <c r="A19" s="176"/>
      <c r="B19" s="127"/>
      <c r="C19" s="395" t="s">
        <v>482</v>
      </c>
      <c r="D19" s="126"/>
      <c r="E19" s="251">
        <v>700000</v>
      </c>
      <c r="F19" s="129"/>
      <c r="G19" s="130">
        <f>gedung!J59</f>
        <v>600000</v>
      </c>
      <c r="H19" s="126"/>
      <c r="I19" s="176"/>
      <c r="J19" s="176"/>
      <c r="K19" s="176"/>
      <c r="L19" s="176"/>
      <c r="M19" s="176"/>
      <c r="N19" s="176"/>
      <c r="O19" s="176"/>
      <c r="P19" s="176"/>
      <c r="Q19" s="176"/>
      <c r="R19" s="176"/>
      <c r="S19" s="176"/>
      <c r="T19" s="176"/>
      <c r="U19" s="176"/>
      <c r="V19" s="176"/>
      <c r="W19" s="176"/>
      <c r="X19" s="176"/>
      <c r="Y19" s="176"/>
      <c r="Z19" s="176"/>
      <c r="AA19" s="176"/>
      <c r="AB19" s="176"/>
      <c r="AC19" s="176"/>
      <c r="AD19" s="176"/>
      <c r="AE19" s="176"/>
      <c r="AF19" s="176"/>
      <c r="AG19" s="176"/>
      <c r="AH19" s="176"/>
      <c r="AI19" s="176"/>
      <c r="AJ19" s="176"/>
      <c r="AK19" s="176"/>
      <c r="AL19" s="176"/>
      <c r="AM19" s="176"/>
      <c r="AN19" s="176"/>
      <c r="AO19" s="176"/>
      <c r="AP19" s="176"/>
      <c r="AQ19" s="176"/>
      <c r="AR19" s="176"/>
      <c r="AS19" s="176"/>
      <c r="AT19" s="176"/>
      <c r="AU19" s="176"/>
      <c r="AV19" s="176"/>
      <c r="AW19" s="176"/>
      <c r="AX19" s="176"/>
      <c r="AY19" s="176"/>
      <c r="AZ19" s="176"/>
      <c r="BA19" s="176"/>
      <c r="BB19" s="176"/>
      <c r="BC19" s="176"/>
      <c r="BD19" s="176"/>
      <c r="BE19" s="176"/>
      <c r="BF19" s="176"/>
      <c r="BG19" s="176"/>
      <c r="BH19" s="176"/>
      <c r="BI19" s="176"/>
      <c r="BJ19" s="176"/>
      <c r="BK19" s="176"/>
      <c r="BL19" s="176"/>
      <c r="BM19" s="176"/>
      <c r="BN19" s="176"/>
      <c r="BO19" s="176"/>
      <c r="BP19" s="176"/>
      <c r="BQ19" s="176"/>
      <c r="BR19" s="176"/>
      <c r="BS19" s="176"/>
      <c r="BT19" s="176"/>
      <c r="BU19" s="176"/>
      <c r="BV19" s="176"/>
      <c r="BW19" s="176"/>
      <c r="BX19" s="176"/>
      <c r="BY19" s="176"/>
      <c r="BZ19" s="176"/>
      <c r="CA19" s="176"/>
      <c r="CB19" s="176"/>
      <c r="CC19" s="176"/>
      <c r="CD19" s="176"/>
      <c r="CE19" s="176"/>
      <c r="CF19" s="176"/>
      <c r="CG19" s="176"/>
      <c r="CH19" s="176"/>
      <c r="CI19" s="176"/>
      <c r="CJ19" s="176"/>
      <c r="CK19" s="176"/>
      <c r="CL19" s="176"/>
      <c r="CM19" s="176"/>
      <c r="CN19" s="176"/>
      <c r="CO19" s="176"/>
      <c r="CP19" s="176"/>
      <c r="CQ19" s="176"/>
      <c r="CR19" s="176"/>
      <c r="CS19" s="176"/>
      <c r="CT19" s="176"/>
      <c r="CU19" s="176"/>
      <c r="CV19" s="176"/>
      <c r="CW19" s="176"/>
      <c r="CX19" s="176"/>
      <c r="CY19" s="176"/>
      <c r="CZ19" s="176"/>
      <c r="DA19" s="176"/>
      <c r="DB19" s="176"/>
      <c r="DC19" s="176"/>
      <c r="DD19" s="176"/>
      <c r="DE19" s="176"/>
      <c r="DF19" s="176"/>
      <c r="DG19" s="176"/>
      <c r="DH19" s="176"/>
      <c r="DI19" s="176"/>
      <c r="DJ19" s="176"/>
      <c r="DK19" s="176"/>
      <c r="DL19" s="176"/>
      <c r="DM19" s="176"/>
      <c r="DN19" s="176"/>
      <c r="DO19" s="176"/>
      <c r="DP19" s="176"/>
      <c r="DQ19" s="176"/>
      <c r="DR19" s="176"/>
      <c r="DS19" s="176"/>
      <c r="DT19" s="176"/>
      <c r="DU19" s="176"/>
      <c r="DV19" s="176"/>
      <c r="DW19" s="176"/>
      <c r="DX19" s="176"/>
      <c r="DY19" s="176"/>
      <c r="DZ19" s="176"/>
      <c r="EA19" s="176"/>
      <c r="EB19" s="176"/>
      <c r="EC19" s="176"/>
      <c r="ED19" s="176"/>
      <c r="EE19" s="176"/>
      <c r="EF19" s="176"/>
      <c r="EG19" s="176"/>
      <c r="EH19" s="176"/>
      <c r="EI19" s="176"/>
      <c r="EJ19" s="176"/>
      <c r="EK19" s="176"/>
      <c r="EL19" s="176"/>
      <c r="EM19" s="176"/>
      <c r="EN19" s="176"/>
      <c r="EO19" s="176"/>
      <c r="EP19" s="176"/>
      <c r="EQ19" s="176"/>
      <c r="ER19" s="176"/>
      <c r="ES19" s="176"/>
      <c r="ET19" s="176"/>
      <c r="EU19" s="176"/>
      <c r="EV19" s="176"/>
      <c r="EW19" s="176"/>
      <c r="EX19" s="176"/>
      <c r="EY19" s="176"/>
      <c r="EZ19" s="176"/>
      <c r="FA19" s="176"/>
      <c r="FB19" s="176"/>
      <c r="FC19" s="176"/>
      <c r="FD19" s="176"/>
      <c r="FE19" s="176"/>
      <c r="FF19" s="176"/>
      <c r="FG19" s="176"/>
      <c r="FH19" s="176"/>
      <c r="FI19" s="176"/>
      <c r="FJ19" s="176"/>
      <c r="FK19" s="176"/>
      <c r="FL19" s="176"/>
      <c r="FM19" s="176"/>
      <c r="FN19" s="176"/>
      <c r="FO19" s="176"/>
      <c r="FP19" s="176"/>
      <c r="FQ19" s="176"/>
      <c r="FR19" s="176"/>
      <c r="FS19" s="176"/>
      <c r="FT19" s="176"/>
      <c r="FU19" s="176"/>
      <c r="FV19" s="176"/>
      <c r="FW19" s="176"/>
      <c r="FX19" s="176"/>
      <c r="FY19" s="176"/>
      <c r="FZ19" s="176"/>
      <c r="GA19" s="176"/>
      <c r="GB19" s="176"/>
      <c r="GC19" s="176"/>
      <c r="GD19" s="176"/>
      <c r="GE19" s="176"/>
      <c r="GF19" s="176"/>
      <c r="GG19" s="176"/>
      <c r="GH19" s="176"/>
      <c r="GI19" s="176"/>
      <c r="GJ19" s="176"/>
      <c r="GK19" s="176"/>
      <c r="GL19" s="176"/>
      <c r="GM19" s="176"/>
      <c r="GN19" s="176"/>
      <c r="GO19" s="176"/>
      <c r="GP19" s="176"/>
      <c r="GQ19" s="176"/>
      <c r="GR19" s="176"/>
      <c r="GS19" s="176"/>
      <c r="GT19" s="176"/>
      <c r="GU19" s="176"/>
      <c r="GV19" s="176"/>
      <c r="GW19" s="176"/>
      <c r="GX19" s="176"/>
      <c r="GY19" s="176"/>
      <c r="GZ19" s="176"/>
      <c r="HA19" s="176"/>
      <c r="HB19" s="176"/>
      <c r="HC19" s="176"/>
      <c r="HD19" s="176"/>
      <c r="HE19" s="176"/>
      <c r="HF19" s="176"/>
      <c r="HG19" s="176"/>
      <c r="HH19" s="176"/>
      <c r="HI19" s="176"/>
      <c r="HJ19" s="176"/>
      <c r="HK19" s="176"/>
      <c r="HL19" s="176"/>
      <c r="HM19" s="176"/>
      <c r="HN19" s="176"/>
      <c r="HO19" s="176"/>
      <c r="HP19" s="176"/>
      <c r="HQ19" s="176"/>
      <c r="HR19" s="176"/>
      <c r="HS19" s="176"/>
      <c r="HT19" s="176"/>
      <c r="HU19" s="176"/>
      <c r="HV19" s="176"/>
      <c r="HW19" s="176"/>
      <c r="HX19" s="176"/>
      <c r="HY19" s="176"/>
      <c r="HZ19" s="176"/>
      <c r="IA19" s="176"/>
      <c r="IB19" s="176"/>
      <c r="IC19" s="176"/>
      <c r="ID19" s="176"/>
      <c r="IE19" s="176"/>
      <c r="IF19" s="176"/>
      <c r="IG19" s="176"/>
      <c r="IH19" s="176"/>
      <c r="II19" s="176"/>
      <c r="IJ19" s="176"/>
      <c r="IK19" s="176"/>
      <c r="IL19" s="176"/>
      <c r="IM19" s="176"/>
      <c r="IN19" s="176"/>
      <c r="IO19" s="176"/>
      <c r="IP19" s="176"/>
      <c r="IQ19" s="176"/>
      <c r="IR19" s="176"/>
      <c r="IS19" s="176"/>
      <c r="IT19" s="176"/>
      <c r="IU19" s="176"/>
      <c r="IV19" s="176"/>
      <c r="IW19" s="176"/>
    </row>
    <row r="20" spans="1:257" x14ac:dyDescent="0.25">
      <c r="A20" s="176"/>
      <c r="B20" s="127"/>
      <c r="C20" s="395" t="s">
        <v>608</v>
      </c>
      <c r="D20" s="126"/>
      <c r="E20" s="251">
        <v>0</v>
      </c>
      <c r="F20" s="129"/>
      <c r="G20" s="130">
        <f>gedung!J60</f>
        <v>0</v>
      </c>
      <c r="H20" s="126"/>
      <c r="I20" s="176"/>
      <c r="J20" s="176"/>
      <c r="K20" s="176"/>
      <c r="L20" s="176"/>
      <c r="M20" s="176"/>
      <c r="N20" s="176"/>
      <c r="O20" s="176"/>
      <c r="P20" s="176"/>
      <c r="Q20" s="176"/>
      <c r="R20" s="176"/>
      <c r="S20" s="176"/>
      <c r="T20" s="176"/>
      <c r="U20" s="176"/>
      <c r="V20" s="176"/>
      <c r="W20" s="176"/>
      <c r="X20" s="176"/>
      <c r="Y20" s="176"/>
      <c r="Z20" s="176"/>
      <c r="AA20" s="176"/>
      <c r="AB20" s="176"/>
      <c r="AC20" s="176"/>
      <c r="AD20" s="176"/>
      <c r="AE20" s="176"/>
      <c r="AF20" s="176"/>
      <c r="AG20" s="176"/>
      <c r="AH20" s="176"/>
      <c r="AI20" s="176"/>
      <c r="AJ20" s="176"/>
      <c r="AK20" s="176"/>
      <c r="AL20" s="176"/>
      <c r="AM20" s="176"/>
      <c r="AN20" s="176"/>
      <c r="AO20" s="176"/>
      <c r="AP20" s="176"/>
      <c r="AQ20" s="176"/>
      <c r="AR20" s="176"/>
      <c r="AS20" s="176"/>
      <c r="AT20" s="176"/>
      <c r="AU20" s="176"/>
      <c r="AV20" s="176"/>
      <c r="AW20" s="176"/>
      <c r="AX20" s="176"/>
      <c r="AY20" s="176"/>
      <c r="AZ20" s="176"/>
      <c r="BA20" s="176"/>
      <c r="BB20" s="176"/>
      <c r="BC20" s="176"/>
      <c r="BD20" s="176"/>
      <c r="BE20" s="176"/>
      <c r="BF20" s="176"/>
      <c r="BG20" s="176"/>
      <c r="BH20" s="176"/>
      <c r="BI20" s="176"/>
      <c r="BJ20" s="176"/>
      <c r="BK20" s="176"/>
      <c r="BL20" s="176"/>
      <c r="BM20" s="176"/>
      <c r="BN20" s="176"/>
      <c r="BO20" s="176"/>
      <c r="BP20" s="176"/>
      <c r="BQ20" s="176"/>
      <c r="BR20" s="176"/>
      <c r="BS20" s="176"/>
      <c r="BT20" s="176"/>
      <c r="BU20" s="176"/>
      <c r="BV20" s="176"/>
      <c r="BW20" s="176"/>
      <c r="BX20" s="176"/>
      <c r="BY20" s="176"/>
      <c r="BZ20" s="176"/>
      <c r="CA20" s="176"/>
      <c r="CB20" s="176"/>
      <c r="CC20" s="176"/>
      <c r="CD20" s="176"/>
      <c r="CE20" s="176"/>
      <c r="CF20" s="176"/>
      <c r="CG20" s="176"/>
      <c r="CH20" s="176"/>
      <c r="CI20" s="176"/>
      <c r="CJ20" s="176"/>
      <c r="CK20" s="176"/>
      <c r="CL20" s="176"/>
      <c r="CM20" s="176"/>
      <c r="CN20" s="176"/>
      <c r="CO20" s="176"/>
      <c r="CP20" s="176"/>
      <c r="CQ20" s="176"/>
      <c r="CR20" s="176"/>
      <c r="CS20" s="176"/>
      <c r="CT20" s="176"/>
      <c r="CU20" s="176"/>
      <c r="CV20" s="176"/>
      <c r="CW20" s="176"/>
      <c r="CX20" s="176"/>
      <c r="CY20" s="176"/>
      <c r="CZ20" s="176"/>
      <c r="DA20" s="176"/>
      <c r="DB20" s="176"/>
      <c r="DC20" s="176"/>
      <c r="DD20" s="176"/>
      <c r="DE20" s="176"/>
      <c r="DF20" s="176"/>
      <c r="DG20" s="176"/>
      <c r="DH20" s="176"/>
      <c r="DI20" s="176"/>
      <c r="DJ20" s="176"/>
      <c r="DK20" s="176"/>
      <c r="DL20" s="176"/>
      <c r="DM20" s="176"/>
      <c r="DN20" s="176"/>
      <c r="DO20" s="176"/>
      <c r="DP20" s="176"/>
      <c r="DQ20" s="176"/>
      <c r="DR20" s="176"/>
      <c r="DS20" s="176"/>
      <c r="DT20" s="176"/>
      <c r="DU20" s="176"/>
      <c r="DV20" s="176"/>
      <c r="DW20" s="176"/>
      <c r="DX20" s="176"/>
      <c r="DY20" s="176"/>
      <c r="DZ20" s="176"/>
      <c r="EA20" s="176"/>
      <c r="EB20" s="176"/>
      <c r="EC20" s="176"/>
      <c r="ED20" s="176"/>
      <c r="EE20" s="176"/>
      <c r="EF20" s="176"/>
      <c r="EG20" s="176"/>
      <c r="EH20" s="176"/>
      <c r="EI20" s="176"/>
      <c r="EJ20" s="176"/>
      <c r="EK20" s="176"/>
      <c r="EL20" s="176"/>
      <c r="EM20" s="176"/>
      <c r="EN20" s="176"/>
      <c r="EO20" s="176"/>
      <c r="EP20" s="176"/>
      <c r="EQ20" s="176"/>
      <c r="ER20" s="176"/>
      <c r="ES20" s="176"/>
      <c r="ET20" s="176"/>
      <c r="EU20" s="176"/>
      <c r="EV20" s="176"/>
      <c r="EW20" s="176"/>
      <c r="EX20" s="176"/>
      <c r="EY20" s="176"/>
      <c r="EZ20" s="176"/>
      <c r="FA20" s="176"/>
      <c r="FB20" s="176"/>
      <c r="FC20" s="176"/>
      <c r="FD20" s="176"/>
      <c r="FE20" s="176"/>
      <c r="FF20" s="176"/>
      <c r="FG20" s="176"/>
      <c r="FH20" s="176"/>
      <c r="FI20" s="176"/>
      <c r="FJ20" s="176"/>
      <c r="FK20" s="176"/>
      <c r="FL20" s="176"/>
      <c r="FM20" s="176"/>
      <c r="FN20" s="176"/>
      <c r="FO20" s="176"/>
      <c r="FP20" s="176"/>
      <c r="FQ20" s="176"/>
      <c r="FR20" s="176"/>
      <c r="FS20" s="176"/>
      <c r="FT20" s="176"/>
      <c r="FU20" s="176"/>
      <c r="FV20" s="176"/>
      <c r="FW20" s="176"/>
      <c r="FX20" s="176"/>
      <c r="FY20" s="176"/>
      <c r="FZ20" s="176"/>
      <c r="GA20" s="176"/>
      <c r="GB20" s="176"/>
      <c r="GC20" s="176"/>
      <c r="GD20" s="176"/>
      <c r="GE20" s="176"/>
      <c r="GF20" s="176"/>
      <c r="GG20" s="176"/>
      <c r="GH20" s="176"/>
      <c r="GI20" s="176"/>
      <c r="GJ20" s="176"/>
      <c r="GK20" s="176"/>
      <c r="GL20" s="176"/>
      <c r="GM20" s="176"/>
      <c r="GN20" s="176"/>
      <c r="GO20" s="176"/>
      <c r="GP20" s="176"/>
      <c r="GQ20" s="176"/>
      <c r="GR20" s="176"/>
      <c r="GS20" s="176"/>
      <c r="GT20" s="176"/>
      <c r="GU20" s="176"/>
      <c r="GV20" s="176"/>
      <c r="GW20" s="176"/>
      <c r="GX20" s="176"/>
      <c r="GY20" s="176"/>
      <c r="GZ20" s="176"/>
      <c r="HA20" s="176"/>
      <c r="HB20" s="176"/>
      <c r="HC20" s="176"/>
      <c r="HD20" s="176"/>
      <c r="HE20" s="176"/>
      <c r="HF20" s="176"/>
      <c r="HG20" s="176"/>
      <c r="HH20" s="176"/>
      <c r="HI20" s="176"/>
      <c r="HJ20" s="176"/>
      <c r="HK20" s="176"/>
      <c r="HL20" s="176"/>
      <c r="HM20" s="176"/>
      <c r="HN20" s="176"/>
      <c r="HO20" s="176"/>
      <c r="HP20" s="176"/>
      <c r="HQ20" s="176"/>
      <c r="HR20" s="176"/>
      <c r="HS20" s="176"/>
      <c r="HT20" s="176"/>
      <c r="HU20" s="176"/>
      <c r="HV20" s="176"/>
      <c r="HW20" s="176"/>
      <c r="HX20" s="176"/>
      <c r="HY20" s="176"/>
      <c r="HZ20" s="176"/>
      <c r="IA20" s="176"/>
      <c r="IB20" s="176"/>
      <c r="IC20" s="176"/>
      <c r="ID20" s="176"/>
      <c r="IE20" s="176"/>
      <c r="IF20" s="176"/>
      <c r="IG20" s="176"/>
      <c r="IH20" s="176"/>
      <c r="II20" s="176"/>
      <c r="IJ20" s="176"/>
      <c r="IK20" s="176"/>
      <c r="IL20" s="176"/>
      <c r="IM20" s="176"/>
      <c r="IN20" s="176"/>
      <c r="IO20" s="176"/>
      <c r="IP20" s="176"/>
      <c r="IQ20" s="176"/>
      <c r="IR20" s="176"/>
      <c r="IS20" s="176"/>
      <c r="IT20" s="176"/>
      <c r="IU20" s="176"/>
      <c r="IV20" s="176"/>
      <c r="IW20" s="176"/>
    </row>
    <row r="21" spans="1:257" s="367" customFormat="1" x14ac:dyDescent="0.25">
      <c r="A21" s="241"/>
      <c r="B21" s="135">
        <v>4</v>
      </c>
      <c r="C21" s="243" t="s">
        <v>480</v>
      </c>
      <c r="D21" s="396"/>
      <c r="E21" s="403">
        <f>SUM(E22)</f>
        <v>0</v>
      </c>
      <c r="F21" s="133"/>
      <c r="G21" s="403">
        <f>SUM(G22)</f>
        <v>2089850</v>
      </c>
      <c r="H21" s="396"/>
      <c r="I21" s="241"/>
      <c r="J21" s="241"/>
      <c r="K21" s="241"/>
      <c r="L21" s="241"/>
      <c r="M21" s="241"/>
      <c r="N21" s="241"/>
      <c r="O21" s="241"/>
      <c r="P21" s="241"/>
      <c r="Q21" s="241"/>
      <c r="R21" s="241"/>
      <c r="S21" s="241"/>
      <c r="T21" s="241"/>
      <c r="U21" s="241"/>
      <c r="V21" s="241"/>
      <c r="W21" s="241"/>
      <c r="X21" s="241"/>
      <c r="Y21" s="241"/>
      <c r="Z21" s="241"/>
      <c r="AA21" s="241"/>
      <c r="AB21" s="241"/>
      <c r="AC21" s="241"/>
      <c r="AD21" s="241"/>
      <c r="AE21" s="241"/>
      <c r="AF21" s="241"/>
      <c r="AG21" s="241"/>
      <c r="AH21" s="241"/>
      <c r="AI21" s="241"/>
      <c r="AJ21" s="241"/>
      <c r="AK21" s="241"/>
      <c r="AL21" s="241"/>
      <c r="AM21" s="241"/>
      <c r="AN21" s="241"/>
      <c r="AO21" s="241"/>
      <c r="AP21" s="241"/>
      <c r="AQ21" s="241"/>
      <c r="AR21" s="241"/>
      <c r="AS21" s="241"/>
      <c r="AT21" s="241"/>
      <c r="AU21" s="241"/>
      <c r="AV21" s="241"/>
      <c r="AW21" s="241"/>
      <c r="AX21" s="241"/>
      <c r="AY21" s="241"/>
      <c r="AZ21" s="241"/>
      <c r="BA21" s="241"/>
      <c r="BB21" s="241"/>
      <c r="BC21" s="241"/>
      <c r="BD21" s="241"/>
      <c r="BE21" s="241"/>
      <c r="BF21" s="241"/>
      <c r="BG21" s="241"/>
      <c r="BH21" s="241"/>
      <c r="BI21" s="241"/>
      <c r="BJ21" s="241"/>
      <c r="BK21" s="241"/>
      <c r="BL21" s="241"/>
      <c r="BM21" s="241"/>
      <c r="BN21" s="241"/>
      <c r="BO21" s="241"/>
      <c r="BP21" s="241"/>
      <c r="BQ21" s="241"/>
      <c r="BR21" s="241"/>
      <c r="BS21" s="241"/>
      <c r="BT21" s="241"/>
      <c r="BU21" s="241"/>
      <c r="BV21" s="241"/>
      <c r="BW21" s="241"/>
      <c r="BX21" s="241"/>
      <c r="BY21" s="241"/>
      <c r="BZ21" s="241"/>
      <c r="CA21" s="241"/>
      <c r="CB21" s="241"/>
      <c r="CC21" s="241"/>
      <c r="CD21" s="241"/>
      <c r="CE21" s="241"/>
      <c r="CF21" s="241"/>
      <c r="CG21" s="241"/>
      <c r="CH21" s="241"/>
      <c r="CI21" s="241"/>
      <c r="CJ21" s="241"/>
      <c r="CK21" s="241"/>
      <c r="CL21" s="241"/>
      <c r="CM21" s="241"/>
      <c r="CN21" s="241"/>
      <c r="CO21" s="241"/>
      <c r="CP21" s="241"/>
      <c r="CQ21" s="241"/>
      <c r="CR21" s="241"/>
      <c r="CS21" s="241"/>
      <c r="CT21" s="241"/>
      <c r="CU21" s="241"/>
      <c r="CV21" s="241"/>
      <c r="CW21" s="241"/>
      <c r="CX21" s="241"/>
      <c r="CY21" s="241"/>
      <c r="CZ21" s="241"/>
      <c r="DA21" s="241"/>
      <c r="DB21" s="241"/>
      <c r="DC21" s="241"/>
      <c r="DD21" s="241"/>
      <c r="DE21" s="241"/>
      <c r="DF21" s="241"/>
      <c r="DG21" s="241"/>
      <c r="DH21" s="241"/>
      <c r="DI21" s="241"/>
      <c r="DJ21" s="241"/>
      <c r="DK21" s="241"/>
      <c r="DL21" s="241"/>
      <c r="DM21" s="241"/>
      <c r="DN21" s="241"/>
      <c r="DO21" s="241"/>
      <c r="DP21" s="241"/>
      <c r="DQ21" s="241"/>
      <c r="DR21" s="241"/>
      <c r="DS21" s="241"/>
      <c r="DT21" s="241"/>
      <c r="DU21" s="241"/>
      <c r="DV21" s="241"/>
      <c r="DW21" s="241"/>
      <c r="DX21" s="241"/>
      <c r="DY21" s="241"/>
      <c r="DZ21" s="241"/>
      <c r="EA21" s="241"/>
      <c r="EB21" s="241"/>
      <c r="EC21" s="241"/>
      <c r="ED21" s="241"/>
      <c r="EE21" s="241"/>
      <c r="EF21" s="241"/>
      <c r="EG21" s="241"/>
      <c r="EH21" s="241"/>
      <c r="EI21" s="241"/>
      <c r="EJ21" s="241"/>
      <c r="EK21" s="241"/>
      <c r="EL21" s="241"/>
      <c r="EM21" s="241"/>
      <c r="EN21" s="241"/>
      <c r="EO21" s="241"/>
      <c r="EP21" s="241"/>
      <c r="EQ21" s="241"/>
      <c r="ER21" s="241"/>
      <c r="ES21" s="241"/>
      <c r="ET21" s="241"/>
      <c r="EU21" s="241"/>
      <c r="EV21" s="241"/>
      <c r="EW21" s="241"/>
      <c r="EX21" s="241"/>
      <c r="EY21" s="241"/>
      <c r="EZ21" s="241"/>
      <c r="FA21" s="241"/>
      <c r="FB21" s="241"/>
      <c r="FC21" s="241"/>
      <c r="FD21" s="241"/>
      <c r="FE21" s="241"/>
      <c r="FF21" s="241"/>
      <c r="FG21" s="241"/>
      <c r="FH21" s="241"/>
      <c r="FI21" s="241"/>
      <c r="FJ21" s="241"/>
      <c r="FK21" s="241"/>
      <c r="FL21" s="241"/>
      <c r="FM21" s="241"/>
      <c r="FN21" s="241"/>
      <c r="FO21" s="241"/>
      <c r="FP21" s="241"/>
      <c r="FQ21" s="241"/>
      <c r="FR21" s="241"/>
      <c r="FS21" s="241"/>
      <c r="FT21" s="241"/>
      <c r="FU21" s="241"/>
      <c r="FV21" s="241"/>
      <c r="FW21" s="241"/>
      <c r="FX21" s="241"/>
      <c r="FY21" s="241"/>
      <c r="FZ21" s="241"/>
      <c r="GA21" s="241"/>
      <c r="GB21" s="241"/>
      <c r="GC21" s="241"/>
      <c r="GD21" s="241"/>
      <c r="GE21" s="241"/>
      <c r="GF21" s="241"/>
      <c r="GG21" s="241"/>
      <c r="GH21" s="241"/>
      <c r="GI21" s="241"/>
      <c r="GJ21" s="241"/>
      <c r="GK21" s="241"/>
      <c r="GL21" s="241"/>
      <c r="GM21" s="241"/>
      <c r="GN21" s="241"/>
      <c r="GO21" s="241"/>
      <c r="GP21" s="241"/>
      <c r="GQ21" s="241"/>
      <c r="GR21" s="241"/>
      <c r="GS21" s="241"/>
      <c r="GT21" s="241"/>
      <c r="GU21" s="241"/>
      <c r="GV21" s="241"/>
      <c r="GW21" s="241"/>
      <c r="GX21" s="241"/>
      <c r="GY21" s="241"/>
      <c r="GZ21" s="241"/>
      <c r="HA21" s="241"/>
      <c r="HB21" s="241"/>
      <c r="HC21" s="241"/>
      <c r="HD21" s="241"/>
      <c r="HE21" s="241"/>
      <c r="HF21" s="241"/>
      <c r="HG21" s="241"/>
      <c r="HH21" s="241"/>
      <c r="HI21" s="241"/>
      <c r="HJ21" s="241"/>
      <c r="HK21" s="241"/>
      <c r="HL21" s="241"/>
      <c r="HM21" s="241"/>
      <c r="HN21" s="241"/>
      <c r="HO21" s="241"/>
      <c r="HP21" s="241"/>
      <c r="HQ21" s="241"/>
      <c r="HR21" s="241"/>
      <c r="HS21" s="241"/>
      <c r="HT21" s="241"/>
      <c r="HU21" s="241"/>
      <c r="HV21" s="241"/>
      <c r="HW21" s="241"/>
      <c r="HX21" s="241"/>
      <c r="HY21" s="241"/>
      <c r="HZ21" s="241"/>
      <c r="IA21" s="241"/>
      <c r="IB21" s="241"/>
      <c r="IC21" s="241"/>
      <c r="ID21" s="241"/>
      <c r="IE21" s="241"/>
      <c r="IF21" s="241"/>
      <c r="IG21" s="241"/>
      <c r="IH21" s="241"/>
      <c r="II21" s="241"/>
      <c r="IJ21" s="241"/>
      <c r="IK21" s="241"/>
      <c r="IL21" s="241"/>
      <c r="IM21" s="241"/>
      <c r="IN21" s="241"/>
      <c r="IO21" s="241"/>
      <c r="IP21" s="241"/>
      <c r="IQ21" s="241"/>
      <c r="IR21" s="241"/>
      <c r="IS21" s="241"/>
      <c r="IT21" s="241"/>
      <c r="IU21" s="241"/>
      <c r="IV21" s="241"/>
      <c r="IW21" s="241"/>
    </row>
    <row r="22" spans="1:257" x14ac:dyDescent="0.25">
      <c r="B22" s="127"/>
      <c r="C22" s="378" t="s">
        <v>481</v>
      </c>
      <c r="D22" s="126"/>
      <c r="E22" s="251"/>
      <c r="F22" s="129"/>
      <c r="G22" s="397">
        <f>bumdes!K66</f>
        <v>2089850</v>
      </c>
      <c r="H22" s="126"/>
    </row>
    <row r="23" spans="1:257" x14ac:dyDescent="0.25">
      <c r="A23" s="176"/>
      <c r="B23" s="127"/>
      <c r="C23" s="378"/>
      <c r="D23" s="126"/>
      <c r="E23" s="129"/>
      <c r="F23" s="129"/>
      <c r="G23" s="397"/>
      <c r="H23" s="126"/>
      <c r="I23" s="176"/>
      <c r="J23" s="176"/>
      <c r="K23" s="176"/>
      <c r="L23" s="176"/>
      <c r="M23" s="176"/>
      <c r="N23" s="176"/>
      <c r="O23" s="176"/>
      <c r="P23" s="176"/>
      <c r="Q23" s="176"/>
      <c r="R23" s="176"/>
      <c r="S23" s="176"/>
      <c r="T23" s="176"/>
      <c r="U23" s="176"/>
      <c r="V23" s="176"/>
      <c r="W23" s="176"/>
      <c r="X23" s="176"/>
      <c r="Y23" s="176"/>
      <c r="Z23" s="176"/>
      <c r="AA23" s="176"/>
      <c r="AB23" s="176"/>
      <c r="AC23" s="176"/>
      <c r="AD23" s="176"/>
      <c r="AE23" s="176"/>
      <c r="AF23" s="176"/>
      <c r="AG23" s="176"/>
      <c r="AH23" s="176"/>
      <c r="AI23" s="176"/>
      <c r="AJ23" s="176"/>
      <c r="AK23" s="176"/>
      <c r="AL23" s="176"/>
      <c r="AM23" s="176"/>
      <c r="AN23" s="176"/>
      <c r="AO23" s="176"/>
      <c r="AP23" s="176"/>
      <c r="AQ23" s="176"/>
      <c r="AR23" s="176"/>
      <c r="AS23" s="176"/>
      <c r="AT23" s="176"/>
      <c r="AU23" s="176"/>
      <c r="AV23" s="176"/>
      <c r="AW23" s="176"/>
      <c r="AX23" s="176"/>
      <c r="AY23" s="176"/>
      <c r="AZ23" s="176"/>
      <c r="BA23" s="176"/>
      <c r="BB23" s="176"/>
      <c r="BC23" s="176"/>
      <c r="BD23" s="176"/>
      <c r="BE23" s="176"/>
      <c r="BF23" s="176"/>
      <c r="BG23" s="176"/>
      <c r="BH23" s="176"/>
      <c r="BI23" s="176"/>
      <c r="BJ23" s="176"/>
      <c r="BK23" s="176"/>
      <c r="BL23" s="176"/>
      <c r="BM23" s="176"/>
      <c r="BN23" s="176"/>
      <c r="BO23" s="176"/>
      <c r="BP23" s="176"/>
      <c r="BQ23" s="176"/>
      <c r="BR23" s="176"/>
      <c r="BS23" s="176"/>
      <c r="BT23" s="176"/>
      <c r="BU23" s="176"/>
      <c r="BV23" s="176"/>
      <c r="BW23" s="176"/>
      <c r="BX23" s="176"/>
      <c r="BY23" s="176"/>
      <c r="BZ23" s="176"/>
      <c r="CA23" s="176"/>
      <c r="CB23" s="176"/>
      <c r="CC23" s="176"/>
      <c r="CD23" s="176"/>
      <c r="CE23" s="176"/>
      <c r="CF23" s="176"/>
      <c r="CG23" s="176"/>
      <c r="CH23" s="176"/>
      <c r="CI23" s="176"/>
      <c r="CJ23" s="176"/>
      <c r="CK23" s="176"/>
      <c r="CL23" s="176"/>
      <c r="CM23" s="176"/>
      <c r="CN23" s="176"/>
      <c r="CO23" s="176"/>
      <c r="CP23" s="176"/>
      <c r="CQ23" s="176"/>
      <c r="CR23" s="176"/>
      <c r="CS23" s="176"/>
      <c r="CT23" s="176"/>
      <c r="CU23" s="176"/>
      <c r="CV23" s="176"/>
      <c r="CW23" s="176"/>
      <c r="CX23" s="176"/>
      <c r="CY23" s="176"/>
      <c r="CZ23" s="176"/>
      <c r="DA23" s="176"/>
      <c r="DB23" s="176"/>
      <c r="DC23" s="176"/>
      <c r="DD23" s="176"/>
      <c r="DE23" s="176"/>
      <c r="DF23" s="176"/>
      <c r="DG23" s="176"/>
      <c r="DH23" s="176"/>
      <c r="DI23" s="176"/>
      <c r="DJ23" s="176"/>
      <c r="DK23" s="176"/>
      <c r="DL23" s="176"/>
      <c r="DM23" s="176"/>
      <c r="DN23" s="176"/>
      <c r="DO23" s="176"/>
      <c r="DP23" s="176"/>
      <c r="DQ23" s="176"/>
      <c r="DR23" s="176"/>
      <c r="DS23" s="176"/>
      <c r="DT23" s="176"/>
      <c r="DU23" s="176"/>
      <c r="DV23" s="176"/>
      <c r="DW23" s="176"/>
      <c r="DX23" s="176"/>
      <c r="DY23" s="176"/>
      <c r="DZ23" s="176"/>
      <c r="EA23" s="176"/>
      <c r="EB23" s="176"/>
      <c r="EC23" s="176"/>
      <c r="ED23" s="176"/>
      <c r="EE23" s="176"/>
      <c r="EF23" s="176"/>
      <c r="EG23" s="176"/>
      <c r="EH23" s="176"/>
      <c r="EI23" s="176"/>
      <c r="EJ23" s="176"/>
      <c r="EK23" s="176"/>
      <c r="EL23" s="176"/>
      <c r="EM23" s="176"/>
      <c r="EN23" s="176"/>
      <c r="EO23" s="176"/>
      <c r="EP23" s="176"/>
      <c r="EQ23" s="176"/>
      <c r="ER23" s="176"/>
      <c r="ES23" s="176"/>
      <c r="ET23" s="176"/>
      <c r="EU23" s="176"/>
      <c r="EV23" s="176"/>
      <c r="EW23" s="176"/>
      <c r="EX23" s="176"/>
      <c r="EY23" s="176"/>
      <c r="EZ23" s="176"/>
      <c r="FA23" s="176"/>
      <c r="FB23" s="176"/>
      <c r="FC23" s="176"/>
      <c r="FD23" s="176"/>
      <c r="FE23" s="176"/>
      <c r="FF23" s="176"/>
      <c r="FG23" s="176"/>
      <c r="FH23" s="176"/>
      <c r="FI23" s="176"/>
      <c r="FJ23" s="176"/>
      <c r="FK23" s="176"/>
      <c r="FL23" s="176"/>
      <c r="FM23" s="176"/>
      <c r="FN23" s="176"/>
      <c r="FO23" s="176"/>
      <c r="FP23" s="176"/>
      <c r="FQ23" s="176"/>
      <c r="FR23" s="176"/>
      <c r="FS23" s="176"/>
      <c r="FT23" s="176"/>
      <c r="FU23" s="176"/>
      <c r="FV23" s="176"/>
      <c r="FW23" s="176"/>
      <c r="FX23" s="176"/>
      <c r="FY23" s="176"/>
      <c r="FZ23" s="176"/>
      <c r="GA23" s="176"/>
      <c r="GB23" s="176"/>
      <c r="GC23" s="176"/>
      <c r="GD23" s="176"/>
      <c r="GE23" s="176"/>
      <c r="GF23" s="176"/>
      <c r="GG23" s="176"/>
      <c r="GH23" s="176"/>
      <c r="GI23" s="176"/>
      <c r="GJ23" s="176"/>
      <c r="GK23" s="176"/>
      <c r="GL23" s="176"/>
      <c r="GM23" s="176"/>
      <c r="GN23" s="176"/>
      <c r="GO23" s="176"/>
      <c r="GP23" s="176"/>
      <c r="GQ23" s="176"/>
      <c r="GR23" s="176"/>
      <c r="GS23" s="176"/>
      <c r="GT23" s="176"/>
      <c r="GU23" s="176"/>
      <c r="GV23" s="176"/>
      <c r="GW23" s="176"/>
      <c r="GX23" s="176"/>
      <c r="GY23" s="176"/>
      <c r="GZ23" s="176"/>
      <c r="HA23" s="176"/>
      <c r="HB23" s="176"/>
      <c r="HC23" s="176"/>
      <c r="HD23" s="176"/>
      <c r="HE23" s="176"/>
      <c r="HF23" s="176"/>
      <c r="HG23" s="176"/>
      <c r="HH23" s="176"/>
      <c r="HI23" s="176"/>
      <c r="HJ23" s="176"/>
      <c r="HK23" s="176"/>
      <c r="HL23" s="176"/>
      <c r="HM23" s="176"/>
      <c r="HN23" s="176"/>
      <c r="HO23" s="176"/>
      <c r="HP23" s="176"/>
      <c r="HQ23" s="176"/>
      <c r="HR23" s="176"/>
      <c r="HS23" s="176"/>
      <c r="HT23" s="176"/>
      <c r="HU23" s="176"/>
      <c r="HV23" s="176"/>
      <c r="HW23" s="176"/>
      <c r="HX23" s="176"/>
      <c r="HY23" s="176"/>
      <c r="HZ23" s="176"/>
      <c r="IA23" s="176"/>
      <c r="IB23" s="176"/>
      <c r="IC23" s="176"/>
      <c r="ID23" s="176"/>
      <c r="IE23" s="176"/>
      <c r="IF23" s="176"/>
      <c r="IG23" s="176"/>
      <c r="IH23" s="176"/>
      <c r="II23" s="176"/>
      <c r="IJ23" s="176"/>
      <c r="IK23" s="176"/>
      <c r="IL23" s="176"/>
      <c r="IM23" s="176"/>
      <c r="IN23" s="176"/>
      <c r="IO23" s="176"/>
      <c r="IP23" s="176"/>
      <c r="IQ23" s="176"/>
      <c r="IR23" s="176"/>
      <c r="IS23" s="176"/>
      <c r="IT23" s="176"/>
      <c r="IU23" s="176"/>
      <c r="IV23" s="176"/>
      <c r="IW23" s="176"/>
    </row>
    <row r="24" spans="1:257" ht="15.75" thickBot="1" x14ac:dyDescent="0.3">
      <c r="B24" s="127"/>
      <c r="C24" s="131" t="s">
        <v>483</v>
      </c>
      <c r="D24" s="132"/>
      <c r="E24" s="404">
        <f>E9+E13+E16+E21</f>
        <v>46960000</v>
      </c>
      <c r="F24" s="133"/>
      <c r="G24" s="404">
        <f>G9+G13+G16+G21</f>
        <v>59929850</v>
      </c>
      <c r="H24" s="134"/>
    </row>
    <row r="25" spans="1:257" ht="8.25" customHeight="1" x14ac:dyDescent="0.25">
      <c r="B25" s="127"/>
      <c r="C25" s="125"/>
      <c r="D25" s="126"/>
      <c r="E25" s="125"/>
      <c r="F25" s="183"/>
      <c r="G25" s="129"/>
      <c r="H25" s="126"/>
      <c r="J25" s="139"/>
    </row>
    <row r="26" spans="1:257" x14ac:dyDescent="0.25">
      <c r="B26" s="135" t="s">
        <v>92</v>
      </c>
      <c r="C26" s="125"/>
      <c r="D26" s="126"/>
      <c r="E26" s="125"/>
      <c r="F26" s="183"/>
      <c r="G26" s="129"/>
      <c r="H26" s="126"/>
    </row>
    <row r="27" spans="1:257" x14ac:dyDescent="0.25">
      <c r="B27" s="136">
        <v>1</v>
      </c>
      <c r="C27" s="128" t="s">
        <v>106</v>
      </c>
      <c r="D27" s="126"/>
      <c r="E27" s="125"/>
      <c r="F27" s="183"/>
      <c r="G27" s="137">
        <f>'sum sp'!G28</f>
        <v>0</v>
      </c>
      <c r="H27" s="126"/>
    </row>
    <row r="28" spans="1:257" x14ac:dyDescent="0.25">
      <c r="B28" s="127">
        <v>2</v>
      </c>
      <c r="C28" s="128" t="s">
        <v>107</v>
      </c>
      <c r="D28" s="126"/>
      <c r="E28" s="251">
        <v>329259.67999999993</v>
      </c>
      <c r="F28" s="183"/>
      <c r="G28" s="130">
        <f>bumdes!E114</f>
        <v>379175.86</v>
      </c>
      <c r="H28" s="126"/>
    </row>
    <row r="29" spans="1:257" x14ac:dyDescent="0.25">
      <c r="B29" s="127"/>
      <c r="C29" s="133" t="s">
        <v>108</v>
      </c>
      <c r="D29" s="126"/>
      <c r="E29" s="138">
        <f>SUM(E27:E28)</f>
        <v>329259.67999999993</v>
      </c>
      <c r="F29" s="183"/>
      <c r="G29" s="138">
        <f>SUM(G27:G28)</f>
        <v>379175.86</v>
      </c>
      <c r="H29" s="126"/>
    </row>
    <row r="30" spans="1:257" x14ac:dyDescent="0.25">
      <c r="B30" s="127"/>
      <c r="C30" s="128"/>
      <c r="D30" s="126"/>
      <c r="E30" s="125"/>
      <c r="F30" s="183"/>
      <c r="G30" s="130"/>
      <c r="H30" s="126"/>
    </row>
    <row r="31" spans="1:257" x14ac:dyDescent="0.25">
      <c r="B31" s="399"/>
      <c r="C31" s="400" t="s">
        <v>109</v>
      </c>
      <c r="D31" s="401"/>
      <c r="E31" s="402">
        <f>E24+E29</f>
        <v>47289259.68</v>
      </c>
      <c r="F31" s="400"/>
      <c r="G31" s="402">
        <f>G24+G29</f>
        <v>60309025.859999999</v>
      </c>
      <c r="H31" s="401"/>
      <c r="J31" s="139"/>
    </row>
    <row r="32" spans="1:257" x14ac:dyDescent="0.25">
      <c r="A32" s="176"/>
      <c r="B32" s="184"/>
      <c r="C32" s="158"/>
      <c r="D32" s="156"/>
      <c r="E32" s="398"/>
      <c r="F32" s="158"/>
      <c r="G32" s="398"/>
      <c r="H32" s="157"/>
      <c r="I32" s="176"/>
      <c r="J32" s="139"/>
      <c r="K32" s="176"/>
      <c r="L32" s="176"/>
      <c r="M32" s="176"/>
      <c r="N32" s="176"/>
      <c r="O32" s="176"/>
      <c r="P32" s="176"/>
      <c r="Q32" s="176"/>
      <c r="R32" s="176"/>
      <c r="S32" s="176"/>
      <c r="T32" s="176"/>
      <c r="U32" s="176"/>
      <c r="V32" s="176"/>
      <c r="W32" s="176"/>
      <c r="X32" s="176"/>
      <c r="Y32" s="176"/>
      <c r="Z32" s="176"/>
      <c r="AA32" s="176"/>
      <c r="AB32" s="176"/>
      <c r="AC32" s="176"/>
      <c r="AD32" s="176"/>
      <c r="AE32" s="176"/>
      <c r="AF32" s="176"/>
      <c r="AG32" s="176"/>
      <c r="AH32" s="176"/>
      <c r="AI32" s="176"/>
      <c r="AJ32" s="176"/>
      <c r="AK32" s="176"/>
      <c r="AL32" s="176"/>
      <c r="AM32" s="176"/>
      <c r="AN32" s="176"/>
      <c r="AO32" s="176"/>
      <c r="AP32" s="176"/>
      <c r="AQ32" s="176"/>
      <c r="AR32" s="176"/>
      <c r="AS32" s="176"/>
      <c r="AT32" s="176"/>
      <c r="AU32" s="176"/>
      <c r="AV32" s="176"/>
      <c r="AW32" s="176"/>
      <c r="AX32" s="176"/>
      <c r="AY32" s="176"/>
      <c r="AZ32" s="176"/>
      <c r="BA32" s="176"/>
      <c r="BB32" s="176"/>
      <c r="BC32" s="176"/>
      <c r="BD32" s="176"/>
      <c r="BE32" s="176"/>
      <c r="BF32" s="176"/>
      <c r="BG32" s="176"/>
      <c r="BH32" s="176"/>
      <c r="BI32" s="176"/>
      <c r="BJ32" s="176"/>
      <c r="BK32" s="176"/>
      <c r="BL32" s="176"/>
      <c r="BM32" s="176"/>
      <c r="BN32" s="176"/>
      <c r="BO32" s="176"/>
      <c r="BP32" s="176"/>
      <c r="BQ32" s="176"/>
      <c r="BR32" s="176"/>
      <c r="BS32" s="176"/>
      <c r="BT32" s="176"/>
      <c r="BU32" s="176"/>
      <c r="BV32" s="176"/>
      <c r="BW32" s="176"/>
      <c r="BX32" s="176"/>
      <c r="BY32" s="176"/>
      <c r="BZ32" s="176"/>
      <c r="CA32" s="176"/>
      <c r="CB32" s="176"/>
      <c r="CC32" s="176"/>
      <c r="CD32" s="176"/>
      <c r="CE32" s="176"/>
      <c r="CF32" s="176"/>
      <c r="CG32" s="176"/>
      <c r="CH32" s="176"/>
      <c r="CI32" s="176"/>
      <c r="CJ32" s="176"/>
      <c r="CK32" s="176"/>
      <c r="CL32" s="176"/>
      <c r="CM32" s="176"/>
      <c r="CN32" s="176"/>
      <c r="CO32" s="176"/>
      <c r="CP32" s="176"/>
      <c r="CQ32" s="176"/>
      <c r="CR32" s="176"/>
      <c r="CS32" s="176"/>
      <c r="CT32" s="176"/>
      <c r="CU32" s="176"/>
      <c r="CV32" s="176"/>
      <c r="CW32" s="176"/>
      <c r="CX32" s="176"/>
      <c r="CY32" s="176"/>
      <c r="CZ32" s="176"/>
      <c r="DA32" s="176"/>
      <c r="DB32" s="176"/>
      <c r="DC32" s="176"/>
      <c r="DD32" s="176"/>
      <c r="DE32" s="176"/>
      <c r="DF32" s="176"/>
      <c r="DG32" s="176"/>
      <c r="DH32" s="176"/>
      <c r="DI32" s="176"/>
      <c r="DJ32" s="176"/>
      <c r="DK32" s="176"/>
      <c r="DL32" s="176"/>
      <c r="DM32" s="176"/>
      <c r="DN32" s="176"/>
      <c r="DO32" s="176"/>
      <c r="DP32" s="176"/>
      <c r="DQ32" s="176"/>
      <c r="DR32" s="176"/>
      <c r="DS32" s="176"/>
      <c r="DT32" s="176"/>
      <c r="DU32" s="176"/>
      <c r="DV32" s="176"/>
      <c r="DW32" s="176"/>
      <c r="DX32" s="176"/>
      <c r="DY32" s="176"/>
      <c r="DZ32" s="176"/>
      <c r="EA32" s="176"/>
      <c r="EB32" s="176"/>
      <c r="EC32" s="176"/>
      <c r="ED32" s="176"/>
      <c r="EE32" s="176"/>
      <c r="EF32" s="176"/>
      <c r="EG32" s="176"/>
      <c r="EH32" s="176"/>
      <c r="EI32" s="176"/>
      <c r="EJ32" s="176"/>
      <c r="EK32" s="176"/>
      <c r="EL32" s="176"/>
      <c r="EM32" s="176"/>
      <c r="EN32" s="176"/>
      <c r="EO32" s="176"/>
      <c r="EP32" s="176"/>
      <c r="EQ32" s="176"/>
      <c r="ER32" s="176"/>
      <c r="ES32" s="176"/>
      <c r="ET32" s="176"/>
      <c r="EU32" s="176"/>
      <c r="EV32" s="176"/>
      <c r="EW32" s="176"/>
      <c r="EX32" s="176"/>
      <c r="EY32" s="176"/>
      <c r="EZ32" s="176"/>
      <c r="FA32" s="176"/>
      <c r="FB32" s="176"/>
      <c r="FC32" s="176"/>
      <c r="FD32" s="176"/>
      <c r="FE32" s="176"/>
      <c r="FF32" s="176"/>
      <c r="FG32" s="176"/>
      <c r="FH32" s="176"/>
      <c r="FI32" s="176"/>
      <c r="FJ32" s="176"/>
      <c r="FK32" s="176"/>
      <c r="FL32" s="176"/>
      <c r="FM32" s="176"/>
      <c r="FN32" s="176"/>
      <c r="FO32" s="176"/>
      <c r="FP32" s="176"/>
      <c r="FQ32" s="176"/>
      <c r="FR32" s="176"/>
      <c r="FS32" s="176"/>
      <c r="FT32" s="176"/>
      <c r="FU32" s="176"/>
      <c r="FV32" s="176"/>
      <c r="FW32" s="176"/>
      <c r="FX32" s="176"/>
      <c r="FY32" s="176"/>
      <c r="FZ32" s="176"/>
      <c r="GA32" s="176"/>
      <c r="GB32" s="176"/>
      <c r="GC32" s="176"/>
      <c r="GD32" s="176"/>
      <c r="GE32" s="176"/>
      <c r="GF32" s="176"/>
      <c r="GG32" s="176"/>
      <c r="GH32" s="176"/>
      <c r="GI32" s="176"/>
      <c r="GJ32" s="176"/>
      <c r="GK32" s="176"/>
      <c r="GL32" s="176"/>
      <c r="GM32" s="176"/>
      <c r="GN32" s="176"/>
      <c r="GO32" s="176"/>
      <c r="GP32" s="176"/>
      <c r="GQ32" s="176"/>
      <c r="GR32" s="176"/>
      <c r="GS32" s="176"/>
      <c r="GT32" s="176"/>
      <c r="GU32" s="176"/>
      <c r="GV32" s="176"/>
      <c r="GW32" s="176"/>
      <c r="GX32" s="176"/>
      <c r="GY32" s="176"/>
      <c r="GZ32" s="176"/>
      <c r="HA32" s="176"/>
      <c r="HB32" s="176"/>
      <c r="HC32" s="176"/>
      <c r="HD32" s="176"/>
      <c r="HE32" s="176"/>
      <c r="HF32" s="176"/>
      <c r="HG32" s="176"/>
      <c r="HH32" s="176"/>
      <c r="HI32" s="176"/>
      <c r="HJ32" s="176"/>
      <c r="HK32" s="176"/>
      <c r="HL32" s="176"/>
      <c r="HM32" s="176"/>
      <c r="HN32" s="176"/>
      <c r="HO32" s="176"/>
      <c r="HP32" s="176"/>
      <c r="HQ32" s="176"/>
      <c r="HR32" s="176"/>
      <c r="HS32" s="176"/>
      <c r="HT32" s="176"/>
      <c r="HU32" s="176"/>
      <c r="HV32" s="176"/>
      <c r="HW32" s="176"/>
      <c r="HX32" s="176"/>
      <c r="HY32" s="176"/>
      <c r="HZ32" s="176"/>
      <c r="IA32" s="176"/>
      <c r="IB32" s="176"/>
      <c r="IC32" s="176"/>
      <c r="ID32" s="176"/>
      <c r="IE32" s="176"/>
      <c r="IF32" s="176"/>
      <c r="IG32" s="176"/>
      <c r="IH32" s="176"/>
      <c r="II32" s="176"/>
      <c r="IJ32" s="176"/>
      <c r="IK32" s="176"/>
      <c r="IL32" s="176"/>
      <c r="IM32" s="176"/>
      <c r="IN32" s="176"/>
      <c r="IO32" s="176"/>
      <c r="IP32" s="176"/>
      <c r="IQ32" s="176"/>
      <c r="IR32" s="176"/>
      <c r="IS32" s="176"/>
      <c r="IT32" s="176"/>
      <c r="IU32" s="176"/>
      <c r="IV32" s="176"/>
      <c r="IW32" s="176"/>
    </row>
    <row r="33" spans="1:257" ht="15.75" thickBot="1" x14ac:dyDescent="0.3">
      <c r="B33" s="918" t="s">
        <v>110</v>
      </c>
      <c r="C33" s="919"/>
      <c r="D33" s="919"/>
      <c r="E33" s="919"/>
      <c r="F33" s="919"/>
      <c r="G33" s="919"/>
      <c r="H33" s="920"/>
    </row>
    <row r="34" spans="1:257" ht="15.75" thickTop="1" x14ac:dyDescent="0.25">
      <c r="B34" s="136">
        <v>1</v>
      </c>
      <c r="C34" s="378" t="s">
        <v>484</v>
      </c>
      <c r="D34" s="126"/>
      <c r="E34" s="573">
        <v>1250000</v>
      </c>
      <c r="F34" s="129"/>
      <c r="G34" s="137">
        <f>bumdes!K69</f>
        <v>1702000</v>
      </c>
      <c r="H34" s="126"/>
    </row>
    <row r="35" spans="1:257" x14ac:dyDescent="0.25">
      <c r="B35" s="136">
        <v>2</v>
      </c>
      <c r="C35" s="378" t="s">
        <v>485</v>
      </c>
      <c r="D35" s="126"/>
      <c r="E35" s="137">
        <f>SUM(E36:E39)</f>
        <v>27898950</v>
      </c>
      <c r="F35" s="129"/>
      <c r="G35" s="137">
        <f>SUM(G36:G39)</f>
        <v>31029450</v>
      </c>
      <c r="H35" s="126"/>
    </row>
    <row r="36" spans="1:257" x14ac:dyDescent="0.25">
      <c r="A36" s="176"/>
      <c r="B36" s="136"/>
      <c r="C36" s="378" t="s">
        <v>486</v>
      </c>
      <c r="D36" s="126"/>
      <c r="E36" s="573">
        <v>0</v>
      </c>
      <c r="F36" s="129"/>
      <c r="G36" s="137">
        <f>'sum sp'!G32</f>
        <v>0</v>
      </c>
      <c r="H36" s="126"/>
      <c r="I36" s="176"/>
      <c r="J36" s="176"/>
      <c r="K36" s="176"/>
      <c r="L36" s="176"/>
      <c r="M36" s="176"/>
      <c r="N36" s="176"/>
      <c r="O36" s="176"/>
      <c r="P36" s="176"/>
      <c r="Q36" s="176"/>
      <c r="R36" s="176"/>
      <c r="S36" s="176"/>
      <c r="T36" s="176"/>
      <c r="U36" s="176"/>
      <c r="V36" s="176"/>
      <c r="W36" s="176"/>
      <c r="X36" s="176"/>
      <c r="Y36" s="176"/>
      <c r="Z36" s="176"/>
      <c r="AA36" s="176"/>
      <c r="AB36" s="176"/>
      <c r="AC36" s="176"/>
      <c r="AD36" s="176"/>
      <c r="AE36" s="176"/>
      <c r="AF36" s="176"/>
      <c r="AG36" s="176"/>
      <c r="AH36" s="176"/>
      <c r="AI36" s="176"/>
      <c r="AJ36" s="176"/>
      <c r="AK36" s="176"/>
      <c r="AL36" s="176"/>
      <c r="AM36" s="176"/>
      <c r="AN36" s="176"/>
      <c r="AO36" s="176"/>
      <c r="AP36" s="176"/>
      <c r="AQ36" s="176"/>
      <c r="AR36" s="176"/>
      <c r="AS36" s="176"/>
      <c r="AT36" s="176"/>
      <c r="AU36" s="176"/>
      <c r="AV36" s="176"/>
      <c r="AW36" s="176"/>
      <c r="AX36" s="176"/>
      <c r="AY36" s="176"/>
      <c r="AZ36" s="176"/>
      <c r="BA36" s="176"/>
      <c r="BB36" s="176"/>
      <c r="BC36" s="176"/>
      <c r="BD36" s="176"/>
      <c r="BE36" s="176"/>
      <c r="BF36" s="176"/>
      <c r="BG36" s="176"/>
      <c r="BH36" s="176"/>
      <c r="BI36" s="176"/>
      <c r="BJ36" s="176"/>
      <c r="BK36" s="176"/>
      <c r="BL36" s="176"/>
      <c r="BM36" s="176"/>
      <c r="BN36" s="176"/>
      <c r="BO36" s="176"/>
      <c r="BP36" s="176"/>
      <c r="BQ36" s="176"/>
      <c r="BR36" s="176"/>
      <c r="BS36" s="176"/>
      <c r="BT36" s="176"/>
      <c r="BU36" s="176"/>
      <c r="BV36" s="176"/>
      <c r="BW36" s="176"/>
      <c r="BX36" s="176"/>
      <c r="BY36" s="176"/>
      <c r="BZ36" s="176"/>
      <c r="CA36" s="176"/>
      <c r="CB36" s="176"/>
      <c r="CC36" s="176"/>
      <c r="CD36" s="176"/>
      <c r="CE36" s="176"/>
      <c r="CF36" s="176"/>
      <c r="CG36" s="176"/>
      <c r="CH36" s="176"/>
      <c r="CI36" s="176"/>
      <c r="CJ36" s="176"/>
      <c r="CK36" s="176"/>
      <c r="CL36" s="176"/>
      <c r="CM36" s="176"/>
      <c r="CN36" s="176"/>
      <c r="CO36" s="176"/>
      <c r="CP36" s="176"/>
      <c r="CQ36" s="176"/>
      <c r="CR36" s="176"/>
      <c r="CS36" s="176"/>
      <c r="CT36" s="176"/>
      <c r="CU36" s="176"/>
      <c r="CV36" s="176"/>
      <c r="CW36" s="176"/>
      <c r="CX36" s="176"/>
      <c r="CY36" s="176"/>
      <c r="CZ36" s="176"/>
      <c r="DA36" s="176"/>
      <c r="DB36" s="176"/>
      <c r="DC36" s="176"/>
      <c r="DD36" s="176"/>
      <c r="DE36" s="176"/>
      <c r="DF36" s="176"/>
      <c r="DG36" s="176"/>
      <c r="DH36" s="176"/>
      <c r="DI36" s="176"/>
      <c r="DJ36" s="176"/>
      <c r="DK36" s="176"/>
      <c r="DL36" s="176"/>
      <c r="DM36" s="176"/>
      <c r="DN36" s="176"/>
      <c r="DO36" s="176"/>
      <c r="DP36" s="176"/>
      <c r="DQ36" s="176"/>
      <c r="DR36" s="176"/>
      <c r="DS36" s="176"/>
      <c r="DT36" s="176"/>
      <c r="DU36" s="176"/>
      <c r="DV36" s="176"/>
      <c r="DW36" s="176"/>
      <c r="DX36" s="176"/>
      <c r="DY36" s="176"/>
      <c r="DZ36" s="176"/>
      <c r="EA36" s="176"/>
      <c r="EB36" s="176"/>
      <c r="EC36" s="176"/>
      <c r="ED36" s="176"/>
      <c r="EE36" s="176"/>
      <c r="EF36" s="176"/>
      <c r="EG36" s="176"/>
      <c r="EH36" s="176"/>
      <c r="EI36" s="176"/>
      <c r="EJ36" s="176"/>
      <c r="EK36" s="176"/>
      <c r="EL36" s="176"/>
      <c r="EM36" s="176"/>
      <c r="EN36" s="176"/>
      <c r="EO36" s="176"/>
      <c r="EP36" s="176"/>
      <c r="EQ36" s="176"/>
      <c r="ER36" s="176"/>
      <c r="ES36" s="176"/>
      <c r="ET36" s="176"/>
      <c r="EU36" s="176"/>
      <c r="EV36" s="176"/>
      <c r="EW36" s="176"/>
      <c r="EX36" s="176"/>
      <c r="EY36" s="176"/>
      <c r="EZ36" s="176"/>
      <c r="FA36" s="176"/>
      <c r="FB36" s="176"/>
      <c r="FC36" s="176"/>
      <c r="FD36" s="176"/>
      <c r="FE36" s="176"/>
      <c r="FF36" s="176"/>
      <c r="FG36" s="176"/>
      <c r="FH36" s="176"/>
      <c r="FI36" s="176"/>
      <c r="FJ36" s="176"/>
      <c r="FK36" s="176"/>
      <c r="FL36" s="176"/>
      <c r="FM36" s="176"/>
      <c r="FN36" s="176"/>
      <c r="FO36" s="176"/>
      <c r="FP36" s="176"/>
      <c r="FQ36" s="176"/>
      <c r="FR36" s="176"/>
      <c r="FS36" s="176"/>
      <c r="FT36" s="176"/>
      <c r="FU36" s="176"/>
      <c r="FV36" s="176"/>
      <c r="FW36" s="176"/>
      <c r="FX36" s="176"/>
      <c r="FY36" s="176"/>
      <c r="FZ36" s="176"/>
      <c r="GA36" s="176"/>
      <c r="GB36" s="176"/>
      <c r="GC36" s="176"/>
      <c r="GD36" s="176"/>
      <c r="GE36" s="176"/>
      <c r="GF36" s="176"/>
      <c r="GG36" s="176"/>
      <c r="GH36" s="176"/>
      <c r="GI36" s="176"/>
      <c r="GJ36" s="176"/>
      <c r="GK36" s="176"/>
      <c r="GL36" s="176"/>
      <c r="GM36" s="176"/>
      <c r="GN36" s="176"/>
      <c r="GO36" s="176"/>
      <c r="GP36" s="176"/>
      <c r="GQ36" s="176"/>
      <c r="GR36" s="176"/>
      <c r="GS36" s="176"/>
      <c r="GT36" s="176"/>
      <c r="GU36" s="176"/>
      <c r="GV36" s="176"/>
      <c r="GW36" s="176"/>
      <c r="GX36" s="176"/>
      <c r="GY36" s="176"/>
      <c r="GZ36" s="176"/>
      <c r="HA36" s="176"/>
      <c r="HB36" s="176"/>
      <c r="HC36" s="176"/>
      <c r="HD36" s="176"/>
      <c r="HE36" s="176"/>
      <c r="HF36" s="176"/>
      <c r="HG36" s="176"/>
      <c r="HH36" s="176"/>
      <c r="HI36" s="176"/>
      <c r="HJ36" s="176"/>
      <c r="HK36" s="176"/>
      <c r="HL36" s="176"/>
      <c r="HM36" s="176"/>
      <c r="HN36" s="176"/>
      <c r="HO36" s="176"/>
      <c r="HP36" s="176"/>
      <c r="HQ36" s="176"/>
      <c r="HR36" s="176"/>
      <c r="HS36" s="176"/>
      <c r="HT36" s="176"/>
      <c r="HU36" s="176"/>
      <c r="HV36" s="176"/>
      <c r="HW36" s="176"/>
      <c r="HX36" s="176"/>
      <c r="HY36" s="176"/>
      <c r="HZ36" s="176"/>
      <c r="IA36" s="176"/>
      <c r="IB36" s="176"/>
      <c r="IC36" s="176"/>
      <c r="ID36" s="176"/>
      <c r="IE36" s="176"/>
      <c r="IF36" s="176"/>
      <c r="IG36" s="176"/>
      <c r="IH36" s="176"/>
      <c r="II36" s="176"/>
      <c r="IJ36" s="176"/>
      <c r="IK36" s="176"/>
      <c r="IL36" s="176"/>
      <c r="IM36" s="176"/>
      <c r="IN36" s="176"/>
      <c r="IO36" s="176"/>
      <c r="IP36" s="176"/>
      <c r="IQ36" s="176"/>
      <c r="IR36" s="176"/>
      <c r="IS36" s="176"/>
      <c r="IT36" s="176"/>
      <c r="IU36" s="176"/>
      <c r="IV36" s="176"/>
      <c r="IW36" s="176"/>
    </row>
    <row r="37" spans="1:257" x14ac:dyDescent="0.25">
      <c r="A37" s="176"/>
      <c r="B37" s="136"/>
      <c r="C37" s="378" t="s">
        <v>466</v>
      </c>
      <c r="D37" s="126"/>
      <c r="E37" s="573">
        <v>10659750</v>
      </c>
      <c r="F37" s="129"/>
      <c r="G37" s="137">
        <f>'SUM LAPAK'!C50</f>
        <v>10250550</v>
      </c>
      <c r="H37" s="126"/>
      <c r="I37" s="176"/>
      <c r="J37" s="176"/>
      <c r="K37" s="176"/>
      <c r="L37" s="176"/>
      <c r="M37" s="176"/>
      <c r="N37" s="176"/>
      <c r="O37" s="176"/>
      <c r="P37" s="176"/>
      <c r="Q37" s="176"/>
      <c r="R37" s="176"/>
      <c r="S37" s="176"/>
      <c r="T37" s="176"/>
      <c r="U37" s="176"/>
      <c r="V37" s="176"/>
      <c r="W37" s="176"/>
      <c r="X37" s="176"/>
      <c r="Y37" s="176"/>
      <c r="Z37" s="176"/>
      <c r="AA37" s="176"/>
      <c r="AB37" s="176"/>
      <c r="AC37" s="176"/>
      <c r="AD37" s="176"/>
      <c r="AE37" s="176"/>
      <c r="AF37" s="176"/>
      <c r="AG37" s="176"/>
      <c r="AH37" s="176"/>
      <c r="AI37" s="176"/>
      <c r="AJ37" s="176"/>
      <c r="AK37" s="176"/>
      <c r="AL37" s="176"/>
      <c r="AM37" s="176"/>
      <c r="AN37" s="176"/>
      <c r="AO37" s="176"/>
      <c r="AP37" s="176"/>
      <c r="AQ37" s="176"/>
      <c r="AR37" s="176"/>
      <c r="AS37" s="176"/>
      <c r="AT37" s="176"/>
      <c r="AU37" s="176"/>
      <c r="AV37" s="176"/>
      <c r="AW37" s="176"/>
      <c r="AX37" s="176"/>
      <c r="AY37" s="176"/>
      <c r="AZ37" s="176"/>
      <c r="BA37" s="176"/>
      <c r="BB37" s="176"/>
      <c r="BC37" s="176"/>
      <c r="BD37" s="176"/>
      <c r="BE37" s="176"/>
      <c r="BF37" s="176"/>
      <c r="BG37" s="176"/>
      <c r="BH37" s="176"/>
      <c r="BI37" s="176"/>
      <c r="BJ37" s="176"/>
      <c r="BK37" s="176"/>
      <c r="BL37" s="176"/>
      <c r="BM37" s="176"/>
      <c r="BN37" s="176"/>
      <c r="BO37" s="176"/>
      <c r="BP37" s="176"/>
      <c r="BQ37" s="176"/>
      <c r="BR37" s="176"/>
      <c r="BS37" s="176"/>
      <c r="BT37" s="176"/>
      <c r="BU37" s="176"/>
      <c r="BV37" s="176"/>
      <c r="BW37" s="176"/>
      <c r="BX37" s="176"/>
      <c r="BY37" s="176"/>
      <c r="BZ37" s="176"/>
      <c r="CA37" s="176"/>
      <c r="CB37" s="176"/>
      <c r="CC37" s="176"/>
      <c r="CD37" s="176"/>
      <c r="CE37" s="176"/>
      <c r="CF37" s="176"/>
      <c r="CG37" s="176"/>
      <c r="CH37" s="176"/>
      <c r="CI37" s="176"/>
      <c r="CJ37" s="176"/>
      <c r="CK37" s="176"/>
      <c r="CL37" s="176"/>
      <c r="CM37" s="176"/>
      <c r="CN37" s="176"/>
      <c r="CO37" s="176"/>
      <c r="CP37" s="176"/>
      <c r="CQ37" s="176"/>
      <c r="CR37" s="176"/>
      <c r="CS37" s="176"/>
      <c r="CT37" s="176"/>
      <c r="CU37" s="176"/>
      <c r="CV37" s="176"/>
      <c r="CW37" s="176"/>
      <c r="CX37" s="176"/>
      <c r="CY37" s="176"/>
      <c r="CZ37" s="176"/>
      <c r="DA37" s="176"/>
      <c r="DB37" s="176"/>
      <c r="DC37" s="176"/>
      <c r="DD37" s="176"/>
      <c r="DE37" s="176"/>
      <c r="DF37" s="176"/>
      <c r="DG37" s="176"/>
      <c r="DH37" s="176"/>
      <c r="DI37" s="176"/>
      <c r="DJ37" s="176"/>
      <c r="DK37" s="176"/>
      <c r="DL37" s="176"/>
      <c r="DM37" s="176"/>
      <c r="DN37" s="176"/>
      <c r="DO37" s="176"/>
      <c r="DP37" s="176"/>
      <c r="DQ37" s="176"/>
      <c r="DR37" s="176"/>
      <c r="DS37" s="176"/>
      <c r="DT37" s="176"/>
      <c r="DU37" s="176"/>
      <c r="DV37" s="176"/>
      <c r="DW37" s="176"/>
      <c r="DX37" s="176"/>
      <c r="DY37" s="176"/>
      <c r="DZ37" s="176"/>
      <c r="EA37" s="176"/>
      <c r="EB37" s="176"/>
      <c r="EC37" s="176"/>
      <c r="ED37" s="176"/>
      <c r="EE37" s="176"/>
      <c r="EF37" s="176"/>
      <c r="EG37" s="176"/>
      <c r="EH37" s="176"/>
      <c r="EI37" s="176"/>
      <c r="EJ37" s="176"/>
      <c r="EK37" s="176"/>
      <c r="EL37" s="176"/>
      <c r="EM37" s="176"/>
      <c r="EN37" s="176"/>
      <c r="EO37" s="176"/>
      <c r="EP37" s="176"/>
      <c r="EQ37" s="176"/>
      <c r="ER37" s="176"/>
      <c r="ES37" s="176"/>
      <c r="ET37" s="176"/>
      <c r="EU37" s="176"/>
      <c r="EV37" s="176"/>
      <c r="EW37" s="176"/>
      <c r="EX37" s="176"/>
      <c r="EY37" s="176"/>
      <c r="EZ37" s="176"/>
      <c r="FA37" s="176"/>
      <c r="FB37" s="176"/>
      <c r="FC37" s="176"/>
      <c r="FD37" s="176"/>
      <c r="FE37" s="176"/>
      <c r="FF37" s="176"/>
      <c r="FG37" s="176"/>
      <c r="FH37" s="176"/>
      <c r="FI37" s="176"/>
      <c r="FJ37" s="176"/>
      <c r="FK37" s="176"/>
      <c r="FL37" s="176"/>
      <c r="FM37" s="176"/>
      <c r="FN37" s="176"/>
      <c r="FO37" s="176"/>
      <c r="FP37" s="176"/>
      <c r="FQ37" s="176"/>
      <c r="FR37" s="176"/>
      <c r="FS37" s="176"/>
      <c r="FT37" s="176"/>
      <c r="FU37" s="176"/>
      <c r="FV37" s="176"/>
      <c r="FW37" s="176"/>
      <c r="FX37" s="176"/>
      <c r="FY37" s="176"/>
      <c r="FZ37" s="176"/>
      <c r="GA37" s="176"/>
      <c r="GB37" s="176"/>
      <c r="GC37" s="176"/>
      <c r="GD37" s="176"/>
      <c r="GE37" s="176"/>
      <c r="GF37" s="176"/>
      <c r="GG37" s="176"/>
      <c r="GH37" s="176"/>
      <c r="GI37" s="176"/>
      <c r="GJ37" s="176"/>
      <c r="GK37" s="176"/>
      <c r="GL37" s="176"/>
      <c r="GM37" s="176"/>
      <c r="GN37" s="176"/>
      <c r="GO37" s="176"/>
      <c r="GP37" s="176"/>
      <c r="GQ37" s="176"/>
      <c r="GR37" s="176"/>
      <c r="GS37" s="176"/>
      <c r="GT37" s="176"/>
      <c r="GU37" s="176"/>
      <c r="GV37" s="176"/>
      <c r="GW37" s="176"/>
      <c r="GX37" s="176"/>
      <c r="GY37" s="176"/>
      <c r="GZ37" s="176"/>
      <c r="HA37" s="176"/>
      <c r="HB37" s="176"/>
      <c r="HC37" s="176"/>
      <c r="HD37" s="176"/>
      <c r="HE37" s="176"/>
      <c r="HF37" s="176"/>
      <c r="HG37" s="176"/>
      <c r="HH37" s="176"/>
      <c r="HI37" s="176"/>
      <c r="HJ37" s="176"/>
      <c r="HK37" s="176"/>
      <c r="HL37" s="176"/>
      <c r="HM37" s="176"/>
      <c r="HN37" s="176"/>
      <c r="HO37" s="176"/>
      <c r="HP37" s="176"/>
      <c r="HQ37" s="176"/>
      <c r="HR37" s="176"/>
      <c r="HS37" s="176"/>
      <c r="HT37" s="176"/>
      <c r="HU37" s="176"/>
      <c r="HV37" s="176"/>
      <c r="HW37" s="176"/>
      <c r="HX37" s="176"/>
      <c r="HY37" s="176"/>
      <c r="HZ37" s="176"/>
      <c r="IA37" s="176"/>
      <c r="IB37" s="176"/>
      <c r="IC37" s="176"/>
      <c r="ID37" s="176"/>
      <c r="IE37" s="176"/>
      <c r="IF37" s="176"/>
      <c r="IG37" s="176"/>
      <c r="IH37" s="176"/>
      <c r="II37" s="176"/>
      <c r="IJ37" s="176"/>
      <c r="IK37" s="176"/>
      <c r="IL37" s="176"/>
      <c r="IM37" s="176"/>
      <c r="IN37" s="176"/>
      <c r="IO37" s="176"/>
      <c r="IP37" s="176"/>
      <c r="IQ37" s="176"/>
      <c r="IR37" s="176"/>
      <c r="IS37" s="176"/>
      <c r="IT37" s="176"/>
      <c r="IU37" s="176"/>
      <c r="IV37" s="176"/>
      <c r="IW37" s="176"/>
    </row>
    <row r="38" spans="1:257" x14ac:dyDescent="0.25">
      <c r="A38" s="176"/>
      <c r="B38" s="136"/>
      <c r="C38" s="378" t="s">
        <v>430</v>
      </c>
      <c r="D38" s="126"/>
      <c r="E38" s="573">
        <v>17239200</v>
      </c>
      <c r="F38" s="129"/>
      <c r="G38" s="137">
        <f>gedung!D103+gedung!D104</f>
        <v>20778900</v>
      </c>
      <c r="H38" s="126"/>
      <c r="I38" s="176"/>
      <c r="J38" s="139"/>
      <c r="K38" s="176"/>
      <c r="L38" s="176"/>
      <c r="M38" s="176"/>
      <c r="N38" s="176"/>
      <c r="O38" s="176"/>
      <c r="P38" s="176"/>
      <c r="Q38" s="176"/>
      <c r="R38" s="176"/>
      <c r="S38" s="176"/>
      <c r="T38" s="176"/>
      <c r="U38" s="176"/>
      <c r="V38" s="176"/>
      <c r="W38" s="176"/>
      <c r="X38" s="176"/>
      <c r="Y38" s="176"/>
      <c r="Z38" s="176"/>
      <c r="AA38" s="176"/>
      <c r="AB38" s="176"/>
      <c r="AC38" s="176"/>
      <c r="AD38" s="176"/>
      <c r="AE38" s="176"/>
      <c r="AF38" s="176"/>
      <c r="AG38" s="176"/>
      <c r="AH38" s="176"/>
      <c r="AI38" s="176"/>
      <c r="AJ38" s="176"/>
      <c r="AK38" s="176"/>
      <c r="AL38" s="176"/>
      <c r="AM38" s="176"/>
      <c r="AN38" s="176"/>
      <c r="AO38" s="176"/>
      <c r="AP38" s="176"/>
      <c r="AQ38" s="176"/>
      <c r="AR38" s="176"/>
      <c r="AS38" s="176"/>
      <c r="AT38" s="176"/>
      <c r="AU38" s="176"/>
      <c r="AV38" s="176"/>
      <c r="AW38" s="176"/>
      <c r="AX38" s="176"/>
      <c r="AY38" s="176"/>
      <c r="AZ38" s="176"/>
      <c r="BA38" s="176"/>
      <c r="BB38" s="176"/>
      <c r="BC38" s="176"/>
      <c r="BD38" s="176"/>
      <c r="BE38" s="176"/>
      <c r="BF38" s="176"/>
      <c r="BG38" s="176"/>
      <c r="BH38" s="176"/>
      <c r="BI38" s="176"/>
      <c r="BJ38" s="176"/>
      <c r="BK38" s="176"/>
      <c r="BL38" s="176"/>
      <c r="BM38" s="176"/>
      <c r="BN38" s="176"/>
      <c r="BO38" s="176"/>
      <c r="BP38" s="176"/>
      <c r="BQ38" s="176"/>
      <c r="BR38" s="176"/>
      <c r="BS38" s="176"/>
      <c r="BT38" s="176"/>
      <c r="BU38" s="176"/>
      <c r="BV38" s="176"/>
      <c r="BW38" s="176"/>
      <c r="BX38" s="176"/>
      <c r="BY38" s="176"/>
      <c r="BZ38" s="176"/>
      <c r="CA38" s="176"/>
      <c r="CB38" s="176"/>
      <c r="CC38" s="176"/>
      <c r="CD38" s="176"/>
      <c r="CE38" s="176"/>
      <c r="CF38" s="176"/>
      <c r="CG38" s="176"/>
      <c r="CH38" s="176"/>
      <c r="CI38" s="176"/>
      <c r="CJ38" s="176"/>
      <c r="CK38" s="176"/>
      <c r="CL38" s="176"/>
      <c r="CM38" s="176"/>
      <c r="CN38" s="176"/>
      <c r="CO38" s="176"/>
      <c r="CP38" s="176"/>
      <c r="CQ38" s="176"/>
      <c r="CR38" s="176"/>
      <c r="CS38" s="176"/>
      <c r="CT38" s="176"/>
      <c r="CU38" s="176"/>
      <c r="CV38" s="176"/>
      <c r="CW38" s="176"/>
      <c r="CX38" s="176"/>
      <c r="CY38" s="176"/>
      <c r="CZ38" s="176"/>
      <c r="DA38" s="176"/>
      <c r="DB38" s="176"/>
      <c r="DC38" s="176"/>
      <c r="DD38" s="176"/>
      <c r="DE38" s="176"/>
      <c r="DF38" s="176"/>
      <c r="DG38" s="176"/>
      <c r="DH38" s="176"/>
      <c r="DI38" s="176"/>
      <c r="DJ38" s="176"/>
      <c r="DK38" s="176"/>
      <c r="DL38" s="176"/>
      <c r="DM38" s="176"/>
      <c r="DN38" s="176"/>
      <c r="DO38" s="176"/>
      <c r="DP38" s="176"/>
      <c r="DQ38" s="176"/>
      <c r="DR38" s="176"/>
      <c r="DS38" s="176"/>
      <c r="DT38" s="176"/>
      <c r="DU38" s="176"/>
      <c r="DV38" s="176"/>
      <c r="DW38" s="176"/>
      <c r="DX38" s="176"/>
      <c r="DY38" s="176"/>
      <c r="DZ38" s="176"/>
      <c r="EA38" s="176"/>
      <c r="EB38" s="176"/>
      <c r="EC38" s="176"/>
      <c r="ED38" s="176"/>
      <c r="EE38" s="176"/>
      <c r="EF38" s="176"/>
      <c r="EG38" s="176"/>
      <c r="EH38" s="176"/>
      <c r="EI38" s="176"/>
      <c r="EJ38" s="176"/>
      <c r="EK38" s="176"/>
      <c r="EL38" s="176"/>
      <c r="EM38" s="176"/>
      <c r="EN38" s="176"/>
      <c r="EO38" s="176"/>
      <c r="EP38" s="176"/>
      <c r="EQ38" s="176"/>
      <c r="ER38" s="176"/>
      <c r="ES38" s="176"/>
      <c r="ET38" s="176"/>
      <c r="EU38" s="176"/>
      <c r="EV38" s="176"/>
      <c r="EW38" s="176"/>
      <c r="EX38" s="176"/>
      <c r="EY38" s="176"/>
      <c r="EZ38" s="176"/>
      <c r="FA38" s="176"/>
      <c r="FB38" s="176"/>
      <c r="FC38" s="176"/>
      <c r="FD38" s="176"/>
      <c r="FE38" s="176"/>
      <c r="FF38" s="176"/>
      <c r="FG38" s="176"/>
      <c r="FH38" s="176"/>
      <c r="FI38" s="176"/>
      <c r="FJ38" s="176"/>
      <c r="FK38" s="176"/>
      <c r="FL38" s="176"/>
      <c r="FM38" s="176"/>
      <c r="FN38" s="176"/>
      <c r="FO38" s="176"/>
      <c r="FP38" s="176"/>
      <c r="FQ38" s="176"/>
      <c r="FR38" s="176"/>
      <c r="FS38" s="176"/>
      <c r="FT38" s="176"/>
      <c r="FU38" s="176"/>
      <c r="FV38" s="176"/>
      <c r="FW38" s="176"/>
      <c r="FX38" s="176"/>
      <c r="FY38" s="176"/>
      <c r="FZ38" s="176"/>
      <c r="GA38" s="176"/>
      <c r="GB38" s="176"/>
      <c r="GC38" s="176"/>
      <c r="GD38" s="176"/>
      <c r="GE38" s="176"/>
      <c r="GF38" s="176"/>
      <c r="GG38" s="176"/>
      <c r="GH38" s="176"/>
      <c r="GI38" s="176"/>
      <c r="GJ38" s="176"/>
      <c r="GK38" s="176"/>
      <c r="GL38" s="176"/>
      <c r="GM38" s="176"/>
      <c r="GN38" s="176"/>
      <c r="GO38" s="176"/>
      <c r="GP38" s="176"/>
      <c r="GQ38" s="176"/>
      <c r="GR38" s="176"/>
      <c r="GS38" s="176"/>
      <c r="GT38" s="176"/>
      <c r="GU38" s="176"/>
      <c r="GV38" s="176"/>
      <c r="GW38" s="176"/>
      <c r="GX38" s="176"/>
      <c r="GY38" s="176"/>
      <c r="GZ38" s="176"/>
      <c r="HA38" s="176"/>
      <c r="HB38" s="176"/>
      <c r="HC38" s="176"/>
      <c r="HD38" s="176"/>
      <c r="HE38" s="176"/>
      <c r="HF38" s="176"/>
      <c r="HG38" s="176"/>
      <c r="HH38" s="176"/>
      <c r="HI38" s="176"/>
      <c r="HJ38" s="176"/>
      <c r="HK38" s="176"/>
      <c r="HL38" s="176"/>
      <c r="HM38" s="176"/>
      <c r="HN38" s="176"/>
      <c r="HO38" s="176"/>
      <c r="HP38" s="176"/>
      <c r="HQ38" s="176"/>
      <c r="HR38" s="176"/>
      <c r="HS38" s="176"/>
      <c r="HT38" s="176"/>
      <c r="HU38" s="176"/>
      <c r="HV38" s="176"/>
      <c r="HW38" s="176"/>
      <c r="HX38" s="176"/>
      <c r="HY38" s="176"/>
      <c r="HZ38" s="176"/>
      <c r="IA38" s="176"/>
      <c r="IB38" s="176"/>
      <c r="IC38" s="176"/>
      <c r="ID38" s="176"/>
      <c r="IE38" s="176"/>
      <c r="IF38" s="176"/>
      <c r="IG38" s="176"/>
      <c r="IH38" s="176"/>
      <c r="II38" s="176"/>
      <c r="IJ38" s="176"/>
      <c r="IK38" s="176"/>
      <c r="IL38" s="176"/>
      <c r="IM38" s="176"/>
      <c r="IN38" s="176"/>
      <c r="IO38" s="176"/>
      <c r="IP38" s="176"/>
      <c r="IQ38" s="176"/>
      <c r="IR38" s="176"/>
      <c r="IS38" s="176"/>
      <c r="IT38" s="176"/>
      <c r="IU38" s="176"/>
      <c r="IV38" s="176"/>
      <c r="IW38" s="176"/>
    </row>
    <row r="39" spans="1:257" x14ac:dyDescent="0.25">
      <c r="A39" s="176"/>
      <c r="B39" s="136"/>
      <c r="C39" s="378" t="s">
        <v>487</v>
      </c>
      <c r="D39" s="126"/>
      <c r="E39" s="573">
        <v>0</v>
      </c>
      <c r="F39" s="129"/>
      <c r="G39" s="137">
        <v>0</v>
      </c>
      <c r="H39" s="126"/>
      <c r="I39" s="176"/>
      <c r="J39" s="176"/>
      <c r="K39" s="176"/>
      <c r="L39" s="176"/>
      <c r="M39" s="176"/>
      <c r="N39" s="176"/>
      <c r="O39" s="176"/>
      <c r="P39" s="176"/>
      <c r="Q39" s="176"/>
      <c r="R39" s="176"/>
      <c r="S39" s="176"/>
      <c r="T39" s="176"/>
      <c r="U39" s="176"/>
      <c r="V39" s="176"/>
      <c r="W39" s="176"/>
      <c r="X39" s="176"/>
      <c r="Y39" s="176"/>
      <c r="Z39" s="176"/>
      <c r="AA39" s="176"/>
      <c r="AB39" s="176"/>
      <c r="AC39" s="176"/>
      <c r="AD39" s="176"/>
      <c r="AE39" s="176"/>
      <c r="AF39" s="176"/>
      <c r="AG39" s="176"/>
      <c r="AH39" s="176"/>
      <c r="AI39" s="176"/>
      <c r="AJ39" s="176"/>
      <c r="AK39" s="176"/>
      <c r="AL39" s="176"/>
      <c r="AM39" s="176"/>
      <c r="AN39" s="176"/>
      <c r="AO39" s="176"/>
      <c r="AP39" s="176"/>
      <c r="AQ39" s="176"/>
      <c r="AR39" s="176"/>
      <c r="AS39" s="176"/>
      <c r="AT39" s="176"/>
      <c r="AU39" s="176"/>
      <c r="AV39" s="176"/>
      <c r="AW39" s="176"/>
      <c r="AX39" s="176"/>
      <c r="AY39" s="176"/>
      <c r="AZ39" s="176"/>
      <c r="BA39" s="176"/>
      <c r="BB39" s="176"/>
      <c r="BC39" s="176"/>
      <c r="BD39" s="176"/>
      <c r="BE39" s="176"/>
      <c r="BF39" s="176"/>
      <c r="BG39" s="176"/>
      <c r="BH39" s="176"/>
      <c r="BI39" s="176"/>
      <c r="BJ39" s="176"/>
      <c r="BK39" s="176"/>
      <c r="BL39" s="176"/>
      <c r="BM39" s="176"/>
      <c r="BN39" s="176"/>
      <c r="BO39" s="176"/>
      <c r="BP39" s="176"/>
      <c r="BQ39" s="176"/>
      <c r="BR39" s="176"/>
      <c r="BS39" s="176"/>
      <c r="BT39" s="176"/>
      <c r="BU39" s="176"/>
      <c r="BV39" s="176"/>
      <c r="BW39" s="176"/>
      <c r="BX39" s="176"/>
      <c r="BY39" s="176"/>
      <c r="BZ39" s="176"/>
      <c r="CA39" s="176"/>
      <c r="CB39" s="176"/>
      <c r="CC39" s="176"/>
      <c r="CD39" s="176"/>
      <c r="CE39" s="176"/>
      <c r="CF39" s="176"/>
      <c r="CG39" s="176"/>
      <c r="CH39" s="176"/>
      <c r="CI39" s="176"/>
      <c r="CJ39" s="176"/>
      <c r="CK39" s="176"/>
      <c r="CL39" s="176"/>
      <c r="CM39" s="176"/>
      <c r="CN39" s="176"/>
      <c r="CO39" s="176"/>
      <c r="CP39" s="176"/>
      <c r="CQ39" s="176"/>
      <c r="CR39" s="176"/>
      <c r="CS39" s="176"/>
      <c r="CT39" s="176"/>
      <c r="CU39" s="176"/>
      <c r="CV39" s="176"/>
      <c r="CW39" s="176"/>
      <c r="CX39" s="176"/>
      <c r="CY39" s="176"/>
      <c r="CZ39" s="176"/>
      <c r="DA39" s="176"/>
      <c r="DB39" s="176"/>
      <c r="DC39" s="176"/>
      <c r="DD39" s="176"/>
      <c r="DE39" s="176"/>
      <c r="DF39" s="176"/>
      <c r="DG39" s="176"/>
      <c r="DH39" s="176"/>
      <c r="DI39" s="176"/>
      <c r="DJ39" s="176"/>
      <c r="DK39" s="176"/>
      <c r="DL39" s="176"/>
      <c r="DM39" s="176"/>
      <c r="DN39" s="176"/>
      <c r="DO39" s="176"/>
      <c r="DP39" s="176"/>
      <c r="DQ39" s="176"/>
      <c r="DR39" s="176"/>
      <c r="DS39" s="176"/>
      <c r="DT39" s="176"/>
      <c r="DU39" s="176"/>
      <c r="DV39" s="176"/>
      <c r="DW39" s="176"/>
      <c r="DX39" s="176"/>
      <c r="DY39" s="176"/>
      <c r="DZ39" s="176"/>
      <c r="EA39" s="176"/>
      <c r="EB39" s="176"/>
      <c r="EC39" s="176"/>
      <c r="ED39" s="176"/>
      <c r="EE39" s="176"/>
      <c r="EF39" s="176"/>
      <c r="EG39" s="176"/>
      <c r="EH39" s="176"/>
      <c r="EI39" s="176"/>
      <c r="EJ39" s="176"/>
      <c r="EK39" s="176"/>
      <c r="EL39" s="176"/>
      <c r="EM39" s="176"/>
      <c r="EN39" s="176"/>
      <c r="EO39" s="176"/>
      <c r="EP39" s="176"/>
      <c r="EQ39" s="176"/>
      <c r="ER39" s="176"/>
      <c r="ES39" s="176"/>
      <c r="ET39" s="176"/>
      <c r="EU39" s="176"/>
      <c r="EV39" s="176"/>
      <c r="EW39" s="176"/>
      <c r="EX39" s="176"/>
      <c r="EY39" s="176"/>
      <c r="EZ39" s="176"/>
      <c r="FA39" s="176"/>
      <c r="FB39" s="176"/>
      <c r="FC39" s="176"/>
      <c r="FD39" s="176"/>
      <c r="FE39" s="176"/>
      <c r="FF39" s="176"/>
      <c r="FG39" s="176"/>
      <c r="FH39" s="176"/>
      <c r="FI39" s="176"/>
      <c r="FJ39" s="176"/>
      <c r="FK39" s="176"/>
      <c r="FL39" s="176"/>
      <c r="FM39" s="176"/>
      <c r="FN39" s="176"/>
      <c r="FO39" s="176"/>
      <c r="FP39" s="176"/>
      <c r="FQ39" s="176"/>
      <c r="FR39" s="176"/>
      <c r="FS39" s="176"/>
      <c r="FT39" s="176"/>
      <c r="FU39" s="176"/>
      <c r="FV39" s="176"/>
      <c r="FW39" s="176"/>
      <c r="FX39" s="176"/>
      <c r="FY39" s="176"/>
      <c r="FZ39" s="176"/>
      <c r="GA39" s="176"/>
      <c r="GB39" s="176"/>
      <c r="GC39" s="176"/>
      <c r="GD39" s="176"/>
      <c r="GE39" s="176"/>
      <c r="GF39" s="176"/>
      <c r="GG39" s="176"/>
      <c r="GH39" s="176"/>
      <c r="GI39" s="176"/>
      <c r="GJ39" s="176"/>
      <c r="GK39" s="176"/>
      <c r="GL39" s="176"/>
      <c r="GM39" s="176"/>
      <c r="GN39" s="176"/>
      <c r="GO39" s="176"/>
      <c r="GP39" s="176"/>
      <c r="GQ39" s="176"/>
      <c r="GR39" s="176"/>
      <c r="GS39" s="176"/>
      <c r="GT39" s="176"/>
      <c r="GU39" s="176"/>
      <c r="GV39" s="176"/>
      <c r="GW39" s="176"/>
      <c r="GX39" s="176"/>
      <c r="GY39" s="176"/>
      <c r="GZ39" s="176"/>
      <c r="HA39" s="176"/>
      <c r="HB39" s="176"/>
      <c r="HC39" s="176"/>
      <c r="HD39" s="176"/>
      <c r="HE39" s="176"/>
      <c r="HF39" s="176"/>
      <c r="HG39" s="176"/>
      <c r="HH39" s="176"/>
      <c r="HI39" s="176"/>
      <c r="HJ39" s="176"/>
      <c r="HK39" s="176"/>
      <c r="HL39" s="176"/>
      <c r="HM39" s="176"/>
      <c r="HN39" s="176"/>
      <c r="HO39" s="176"/>
      <c r="HP39" s="176"/>
      <c r="HQ39" s="176"/>
      <c r="HR39" s="176"/>
      <c r="HS39" s="176"/>
      <c r="HT39" s="176"/>
      <c r="HU39" s="176"/>
      <c r="HV39" s="176"/>
      <c r="HW39" s="176"/>
      <c r="HX39" s="176"/>
      <c r="HY39" s="176"/>
      <c r="HZ39" s="176"/>
      <c r="IA39" s="176"/>
      <c r="IB39" s="176"/>
      <c r="IC39" s="176"/>
      <c r="ID39" s="176"/>
      <c r="IE39" s="176"/>
      <c r="IF39" s="176"/>
      <c r="IG39" s="176"/>
      <c r="IH39" s="176"/>
      <c r="II39" s="176"/>
      <c r="IJ39" s="176"/>
      <c r="IK39" s="176"/>
      <c r="IL39" s="176"/>
      <c r="IM39" s="176"/>
      <c r="IN39" s="176"/>
      <c r="IO39" s="176"/>
      <c r="IP39" s="176"/>
      <c r="IQ39" s="176"/>
      <c r="IR39" s="176"/>
      <c r="IS39" s="176"/>
      <c r="IT39" s="176"/>
      <c r="IU39" s="176"/>
      <c r="IV39" s="176"/>
      <c r="IW39" s="176"/>
    </row>
    <row r="40" spans="1:257" x14ac:dyDescent="0.25">
      <c r="B40" s="136">
        <v>3</v>
      </c>
      <c r="C40" s="140" t="s">
        <v>111</v>
      </c>
      <c r="D40" s="126"/>
      <c r="E40" s="573"/>
      <c r="F40" s="129"/>
      <c r="G40" s="137"/>
      <c r="H40" s="126"/>
    </row>
    <row r="41" spans="1:257" x14ac:dyDescent="0.25">
      <c r="A41" s="176"/>
      <c r="B41" s="136">
        <v>4</v>
      </c>
      <c r="C41" s="428" t="s">
        <v>531</v>
      </c>
      <c r="D41" s="126"/>
      <c r="E41" s="573">
        <v>4956250</v>
      </c>
      <c r="F41" s="129"/>
      <c r="G41" s="137">
        <f>AKTIVA!L18</f>
        <v>3680621</v>
      </c>
      <c r="H41" s="126"/>
      <c r="I41" s="176"/>
      <c r="J41" s="176"/>
      <c r="K41" s="176"/>
      <c r="L41" s="176"/>
      <c r="M41" s="176"/>
      <c r="N41" s="176"/>
      <c r="O41" s="176"/>
      <c r="P41" s="176"/>
      <c r="Q41" s="176"/>
      <c r="R41" s="176"/>
      <c r="S41" s="176"/>
      <c r="T41" s="176"/>
      <c r="U41" s="176"/>
      <c r="V41" s="176"/>
      <c r="W41" s="176"/>
      <c r="X41" s="176"/>
      <c r="Y41" s="176"/>
      <c r="Z41" s="176"/>
      <c r="AA41" s="176"/>
      <c r="AB41" s="176"/>
      <c r="AC41" s="176"/>
      <c r="AD41" s="176"/>
      <c r="AE41" s="176"/>
      <c r="AF41" s="176"/>
      <c r="AG41" s="176"/>
      <c r="AH41" s="176"/>
      <c r="AI41" s="176"/>
      <c r="AJ41" s="176"/>
      <c r="AK41" s="176"/>
      <c r="AL41" s="176"/>
      <c r="AM41" s="176"/>
      <c r="AN41" s="176"/>
      <c r="AO41" s="176"/>
      <c r="AP41" s="176"/>
      <c r="AQ41" s="176"/>
      <c r="AR41" s="176"/>
      <c r="AS41" s="176"/>
      <c r="AT41" s="176"/>
      <c r="AU41" s="176"/>
      <c r="AV41" s="176"/>
      <c r="AW41" s="176"/>
      <c r="AX41" s="176"/>
      <c r="AY41" s="176"/>
      <c r="AZ41" s="176"/>
      <c r="BA41" s="176"/>
      <c r="BB41" s="176"/>
      <c r="BC41" s="176"/>
      <c r="BD41" s="176"/>
      <c r="BE41" s="176"/>
      <c r="BF41" s="176"/>
      <c r="BG41" s="176"/>
      <c r="BH41" s="176"/>
      <c r="BI41" s="176"/>
      <c r="BJ41" s="176"/>
      <c r="BK41" s="176"/>
      <c r="BL41" s="176"/>
      <c r="BM41" s="176"/>
      <c r="BN41" s="176"/>
      <c r="BO41" s="176"/>
      <c r="BP41" s="176"/>
      <c r="BQ41" s="176"/>
      <c r="BR41" s="176"/>
      <c r="BS41" s="176"/>
      <c r="BT41" s="176"/>
      <c r="BU41" s="176"/>
      <c r="BV41" s="176"/>
      <c r="BW41" s="176"/>
      <c r="BX41" s="176"/>
      <c r="BY41" s="176"/>
      <c r="BZ41" s="176"/>
      <c r="CA41" s="176"/>
      <c r="CB41" s="176"/>
      <c r="CC41" s="176"/>
      <c r="CD41" s="176"/>
      <c r="CE41" s="176"/>
      <c r="CF41" s="176"/>
      <c r="CG41" s="176"/>
      <c r="CH41" s="176"/>
      <c r="CI41" s="176"/>
      <c r="CJ41" s="176"/>
      <c r="CK41" s="176"/>
      <c r="CL41" s="176"/>
      <c r="CM41" s="176"/>
      <c r="CN41" s="176"/>
      <c r="CO41" s="176"/>
      <c r="CP41" s="176"/>
      <c r="CQ41" s="176"/>
      <c r="CR41" s="176"/>
      <c r="CS41" s="176"/>
      <c r="CT41" s="176"/>
      <c r="CU41" s="176"/>
      <c r="CV41" s="176"/>
      <c r="CW41" s="176"/>
      <c r="CX41" s="176"/>
      <c r="CY41" s="176"/>
      <c r="CZ41" s="176"/>
      <c r="DA41" s="176"/>
      <c r="DB41" s="176"/>
      <c r="DC41" s="176"/>
      <c r="DD41" s="176"/>
      <c r="DE41" s="176"/>
      <c r="DF41" s="176"/>
      <c r="DG41" s="176"/>
      <c r="DH41" s="176"/>
      <c r="DI41" s="176"/>
      <c r="DJ41" s="176"/>
      <c r="DK41" s="176"/>
      <c r="DL41" s="176"/>
      <c r="DM41" s="176"/>
      <c r="DN41" s="176"/>
      <c r="DO41" s="176"/>
      <c r="DP41" s="176"/>
      <c r="DQ41" s="176"/>
      <c r="DR41" s="176"/>
      <c r="DS41" s="176"/>
      <c r="DT41" s="176"/>
      <c r="DU41" s="176"/>
      <c r="DV41" s="176"/>
      <c r="DW41" s="176"/>
      <c r="DX41" s="176"/>
      <c r="DY41" s="176"/>
      <c r="DZ41" s="176"/>
      <c r="EA41" s="176"/>
      <c r="EB41" s="176"/>
      <c r="EC41" s="176"/>
      <c r="ED41" s="176"/>
      <c r="EE41" s="176"/>
      <c r="EF41" s="176"/>
      <c r="EG41" s="176"/>
      <c r="EH41" s="176"/>
      <c r="EI41" s="176"/>
      <c r="EJ41" s="176"/>
      <c r="EK41" s="176"/>
      <c r="EL41" s="176"/>
      <c r="EM41" s="176"/>
      <c r="EN41" s="176"/>
      <c r="EO41" s="176"/>
      <c r="EP41" s="176"/>
      <c r="EQ41" s="176"/>
      <c r="ER41" s="176"/>
      <c r="ES41" s="176"/>
      <c r="ET41" s="176"/>
      <c r="EU41" s="176"/>
      <c r="EV41" s="176"/>
      <c r="EW41" s="176"/>
      <c r="EX41" s="176"/>
      <c r="EY41" s="176"/>
      <c r="EZ41" s="176"/>
      <c r="FA41" s="176"/>
      <c r="FB41" s="176"/>
      <c r="FC41" s="176"/>
      <c r="FD41" s="176"/>
      <c r="FE41" s="176"/>
      <c r="FF41" s="176"/>
      <c r="FG41" s="176"/>
      <c r="FH41" s="176"/>
      <c r="FI41" s="176"/>
      <c r="FJ41" s="176"/>
      <c r="FK41" s="176"/>
      <c r="FL41" s="176"/>
      <c r="FM41" s="176"/>
      <c r="FN41" s="176"/>
      <c r="FO41" s="176"/>
      <c r="FP41" s="176"/>
      <c r="FQ41" s="176"/>
      <c r="FR41" s="176"/>
      <c r="FS41" s="176"/>
      <c r="FT41" s="176"/>
      <c r="FU41" s="176"/>
      <c r="FV41" s="176"/>
      <c r="FW41" s="176"/>
      <c r="FX41" s="176"/>
      <c r="FY41" s="176"/>
      <c r="FZ41" s="176"/>
      <c r="GA41" s="176"/>
      <c r="GB41" s="176"/>
      <c r="GC41" s="176"/>
      <c r="GD41" s="176"/>
      <c r="GE41" s="176"/>
      <c r="GF41" s="176"/>
      <c r="GG41" s="176"/>
      <c r="GH41" s="176"/>
      <c r="GI41" s="176"/>
      <c r="GJ41" s="176"/>
      <c r="GK41" s="176"/>
      <c r="GL41" s="176"/>
      <c r="GM41" s="176"/>
      <c r="GN41" s="176"/>
      <c r="GO41" s="176"/>
      <c r="GP41" s="176"/>
      <c r="GQ41" s="176"/>
      <c r="GR41" s="176"/>
      <c r="GS41" s="176"/>
      <c r="GT41" s="176"/>
      <c r="GU41" s="176"/>
      <c r="GV41" s="176"/>
      <c r="GW41" s="176"/>
      <c r="GX41" s="176"/>
      <c r="GY41" s="176"/>
      <c r="GZ41" s="176"/>
      <c r="HA41" s="176"/>
      <c r="HB41" s="176"/>
      <c r="HC41" s="176"/>
      <c r="HD41" s="176"/>
      <c r="HE41" s="176"/>
      <c r="HF41" s="176"/>
      <c r="HG41" s="176"/>
      <c r="HH41" s="176"/>
      <c r="HI41" s="176"/>
      <c r="HJ41" s="176"/>
      <c r="HK41" s="176"/>
      <c r="HL41" s="176"/>
      <c r="HM41" s="176"/>
      <c r="HN41" s="176"/>
      <c r="HO41" s="176"/>
      <c r="HP41" s="176"/>
      <c r="HQ41" s="176"/>
      <c r="HR41" s="176"/>
      <c r="HS41" s="176"/>
      <c r="HT41" s="176"/>
      <c r="HU41" s="176"/>
      <c r="HV41" s="176"/>
      <c r="HW41" s="176"/>
      <c r="HX41" s="176"/>
      <c r="HY41" s="176"/>
      <c r="HZ41" s="176"/>
      <c r="IA41" s="176"/>
      <c r="IB41" s="176"/>
      <c r="IC41" s="176"/>
      <c r="ID41" s="176"/>
      <c r="IE41" s="176"/>
      <c r="IF41" s="176"/>
      <c r="IG41" s="176"/>
      <c r="IH41" s="176"/>
      <c r="II41" s="176"/>
      <c r="IJ41" s="176"/>
      <c r="IK41" s="176"/>
      <c r="IL41" s="176"/>
      <c r="IM41" s="176"/>
      <c r="IN41" s="176"/>
      <c r="IO41" s="176"/>
      <c r="IP41" s="176"/>
      <c r="IQ41" s="176"/>
      <c r="IR41" s="176"/>
      <c r="IS41" s="176"/>
      <c r="IT41" s="176"/>
      <c r="IU41" s="176"/>
      <c r="IV41" s="176"/>
      <c r="IW41" s="176"/>
    </row>
    <row r="42" spans="1:257" s="367" customFormat="1" x14ac:dyDescent="0.25">
      <c r="A42" s="241"/>
      <c r="B42" s="135"/>
      <c r="C42" s="243" t="s">
        <v>108</v>
      </c>
      <c r="D42" s="396"/>
      <c r="E42" s="403">
        <f>E34+E35+E40+E41</f>
        <v>34105200</v>
      </c>
      <c r="F42" s="133"/>
      <c r="G42" s="403">
        <f>G34+G35+G40+G41</f>
        <v>36412071</v>
      </c>
      <c r="H42" s="396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Y42" s="241"/>
      <c r="Z42" s="241"/>
      <c r="AA42" s="241"/>
      <c r="AB42" s="241"/>
      <c r="AC42" s="241"/>
      <c r="AD42" s="241"/>
      <c r="AE42" s="241"/>
      <c r="AF42" s="241"/>
      <c r="AG42" s="241"/>
      <c r="AH42" s="241"/>
      <c r="AI42" s="241"/>
      <c r="AJ42" s="241"/>
      <c r="AK42" s="241"/>
      <c r="AL42" s="241"/>
      <c r="AM42" s="241"/>
      <c r="AN42" s="241"/>
      <c r="AO42" s="241"/>
      <c r="AP42" s="241"/>
      <c r="AQ42" s="241"/>
      <c r="AR42" s="241"/>
      <c r="AS42" s="241"/>
      <c r="AT42" s="241"/>
      <c r="AU42" s="241"/>
      <c r="AV42" s="241"/>
      <c r="AW42" s="241"/>
      <c r="AX42" s="241"/>
      <c r="AY42" s="241"/>
      <c r="AZ42" s="241"/>
      <c r="BA42" s="241"/>
      <c r="BB42" s="241"/>
      <c r="BC42" s="241"/>
      <c r="BD42" s="241"/>
      <c r="BE42" s="241"/>
      <c r="BF42" s="241"/>
      <c r="BG42" s="241"/>
      <c r="BH42" s="241"/>
      <c r="BI42" s="241"/>
      <c r="BJ42" s="241"/>
      <c r="BK42" s="241"/>
      <c r="BL42" s="241"/>
      <c r="BM42" s="241"/>
      <c r="BN42" s="241"/>
      <c r="BO42" s="241"/>
      <c r="BP42" s="241"/>
      <c r="BQ42" s="241"/>
      <c r="BR42" s="241"/>
      <c r="BS42" s="241"/>
      <c r="BT42" s="241"/>
      <c r="BU42" s="241"/>
      <c r="BV42" s="241"/>
      <c r="BW42" s="241"/>
      <c r="BX42" s="241"/>
      <c r="BY42" s="241"/>
      <c r="BZ42" s="241"/>
      <c r="CA42" s="241"/>
      <c r="CB42" s="241"/>
      <c r="CC42" s="241"/>
      <c r="CD42" s="241"/>
      <c r="CE42" s="241"/>
      <c r="CF42" s="241"/>
      <c r="CG42" s="241"/>
      <c r="CH42" s="241"/>
      <c r="CI42" s="241"/>
      <c r="CJ42" s="241"/>
      <c r="CK42" s="241"/>
      <c r="CL42" s="241"/>
      <c r="CM42" s="241"/>
      <c r="CN42" s="241"/>
      <c r="CO42" s="241"/>
      <c r="CP42" s="241"/>
      <c r="CQ42" s="241"/>
      <c r="CR42" s="241"/>
      <c r="CS42" s="241"/>
      <c r="CT42" s="241"/>
      <c r="CU42" s="241"/>
      <c r="CV42" s="241"/>
      <c r="CW42" s="241"/>
      <c r="CX42" s="241"/>
      <c r="CY42" s="241"/>
      <c r="CZ42" s="241"/>
      <c r="DA42" s="241"/>
      <c r="DB42" s="241"/>
      <c r="DC42" s="241"/>
      <c r="DD42" s="241"/>
      <c r="DE42" s="241"/>
      <c r="DF42" s="241"/>
      <c r="DG42" s="241"/>
      <c r="DH42" s="241"/>
      <c r="DI42" s="241"/>
      <c r="DJ42" s="241"/>
      <c r="DK42" s="241"/>
      <c r="DL42" s="241"/>
      <c r="DM42" s="241"/>
      <c r="DN42" s="241"/>
      <c r="DO42" s="241"/>
      <c r="DP42" s="241"/>
      <c r="DQ42" s="241"/>
      <c r="DR42" s="241"/>
      <c r="DS42" s="241"/>
      <c r="DT42" s="241"/>
      <c r="DU42" s="241"/>
      <c r="DV42" s="241"/>
      <c r="DW42" s="241"/>
      <c r="DX42" s="241"/>
      <c r="DY42" s="241"/>
      <c r="DZ42" s="241"/>
      <c r="EA42" s="241"/>
      <c r="EB42" s="241"/>
      <c r="EC42" s="241"/>
      <c r="ED42" s="241"/>
      <c r="EE42" s="241"/>
      <c r="EF42" s="241"/>
      <c r="EG42" s="241"/>
      <c r="EH42" s="241"/>
      <c r="EI42" s="241"/>
      <c r="EJ42" s="241"/>
      <c r="EK42" s="241"/>
      <c r="EL42" s="241"/>
      <c r="EM42" s="241"/>
      <c r="EN42" s="241"/>
      <c r="EO42" s="241"/>
      <c r="EP42" s="241"/>
      <c r="EQ42" s="241"/>
      <c r="ER42" s="241"/>
      <c r="ES42" s="241"/>
      <c r="ET42" s="241"/>
      <c r="EU42" s="241"/>
      <c r="EV42" s="241"/>
      <c r="EW42" s="241"/>
      <c r="EX42" s="241"/>
      <c r="EY42" s="241"/>
      <c r="EZ42" s="241"/>
      <c r="FA42" s="241"/>
      <c r="FB42" s="241"/>
      <c r="FC42" s="241"/>
      <c r="FD42" s="241"/>
      <c r="FE42" s="241"/>
      <c r="FF42" s="241"/>
      <c r="FG42" s="241"/>
      <c r="FH42" s="241"/>
      <c r="FI42" s="241"/>
      <c r="FJ42" s="241"/>
      <c r="FK42" s="241"/>
      <c r="FL42" s="241"/>
      <c r="FM42" s="241"/>
      <c r="FN42" s="241"/>
      <c r="FO42" s="241"/>
      <c r="FP42" s="241"/>
      <c r="FQ42" s="241"/>
      <c r="FR42" s="241"/>
      <c r="FS42" s="241"/>
      <c r="FT42" s="241"/>
      <c r="FU42" s="241"/>
      <c r="FV42" s="241"/>
      <c r="FW42" s="241"/>
      <c r="FX42" s="241"/>
      <c r="FY42" s="241"/>
      <c r="FZ42" s="241"/>
      <c r="GA42" s="241"/>
      <c r="GB42" s="241"/>
      <c r="GC42" s="241"/>
      <c r="GD42" s="241"/>
      <c r="GE42" s="241"/>
      <c r="GF42" s="241"/>
      <c r="GG42" s="241"/>
      <c r="GH42" s="241"/>
      <c r="GI42" s="241"/>
      <c r="GJ42" s="241"/>
      <c r="GK42" s="241"/>
      <c r="GL42" s="241"/>
      <c r="GM42" s="241"/>
      <c r="GN42" s="241"/>
      <c r="GO42" s="241"/>
      <c r="GP42" s="241"/>
      <c r="GQ42" s="241"/>
      <c r="GR42" s="241"/>
      <c r="GS42" s="241"/>
      <c r="GT42" s="241"/>
      <c r="GU42" s="241"/>
      <c r="GV42" s="241"/>
      <c r="GW42" s="241"/>
      <c r="GX42" s="241"/>
      <c r="GY42" s="241"/>
      <c r="GZ42" s="241"/>
      <c r="HA42" s="241"/>
      <c r="HB42" s="241"/>
      <c r="HC42" s="241"/>
      <c r="HD42" s="241"/>
      <c r="HE42" s="241"/>
      <c r="HF42" s="241"/>
      <c r="HG42" s="241"/>
      <c r="HH42" s="241"/>
      <c r="HI42" s="241"/>
      <c r="HJ42" s="241"/>
      <c r="HK42" s="241"/>
      <c r="HL42" s="241"/>
      <c r="HM42" s="241"/>
      <c r="HN42" s="241"/>
      <c r="HO42" s="241"/>
      <c r="HP42" s="241"/>
      <c r="HQ42" s="241"/>
      <c r="HR42" s="241"/>
      <c r="HS42" s="241"/>
      <c r="HT42" s="241"/>
      <c r="HU42" s="241"/>
      <c r="HV42" s="241"/>
      <c r="HW42" s="241"/>
      <c r="HX42" s="241"/>
      <c r="HY42" s="241"/>
      <c r="HZ42" s="241"/>
      <c r="IA42" s="241"/>
      <c r="IB42" s="241"/>
      <c r="IC42" s="241"/>
      <c r="ID42" s="241"/>
      <c r="IE42" s="241"/>
      <c r="IF42" s="241"/>
      <c r="IG42" s="241"/>
      <c r="IH42" s="241"/>
      <c r="II42" s="241"/>
      <c r="IJ42" s="241"/>
      <c r="IK42" s="241"/>
      <c r="IL42" s="241"/>
      <c r="IM42" s="241"/>
      <c r="IN42" s="241"/>
      <c r="IO42" s="241"/>
      <c r="IP42" s="241"/>
      <c r="IQ42" s="241"/>
      <c r="IR42" s="241"/>
      <c r="IS42" s="241"/>
      <c r="IT42" s="241"/>
      <c r="IU42" s="241"/>
      <c r="IV42" s="241"/>
      <c r="IW42" s="241"/>
    </row>
    <row r="43" spans="1:257" ht="8.25" customHeight="1" x14ac:dyDescent="0.25">
      <c r="B43" s="141"/>
      <c r="C43" s="142"/>
      <c r="D43" s="143"/>
      <c r="E43" s="129"/>
      <c r="F43" s="129"/>
      <c r="G43" s="144"/>
      <c r="H43" s="126"/>
    </row>
    <row r="44" spans="1:257" x14ac:dyDescent="0.25">
      <c r="B44" s="145" t="s">
        <v>112</v>
      </c>
      <c r="C44" s="142"/>
      <c r="D44" s="143"/>
      <c r="E44" s="633">
        <f>SUM(E45:E46)</f>
        <v>671992.51</v>
      </c>
      <c r="F44" s="129"/>
      <c r="G44" s="633">
        <f>SUM(G45:G46)</f>
        <v>161630.01549993322</v>
      </c>
      <c r="H44" s="126"/>
    </row>
    <row r="45" spans="1:257" x14ac:dyDescent="0.25">
      <c r="B45" s="127">
        <v>1</v>
      </c>
      <c r="C45" s="128" t="s">
        <v>113</v>
      </c>
      <c r="D45" s="126"/>
      <c r="E45" s="251">
        <v>55392.51</v>
      </c>
      <c r="F45" s="183"/>
      <c r="G45" s="130">
        <f>bumdes!E115</f>
        <v>130833.758</v>
      </c>
      <c r="H45" s="126"/>
    </row>
    <row r="46" spans="1:257" x14ac:dyDescent="0.25">
      <c r="B46" s="127">
        <v>2</v>
      </c>
      <c r="C46" s="378" t="s">
        <v>927</v>
      </c>
      <c r="D46" s="126"/>
      <c r="E46" s="251">
        <v>616600</v>
      </c>
      <c r="F46" s="183"/>
      <c r="G46" s="130">
        <v>30796.257499933199</v>
      </c>
      <c r="H46" s="126"/>
    </row>
    <row r="47" spans="1:257" s="367" customFormat="1" ht="15.75" thickBot="1" x14ac:dyDescent="0.3">
      <c r="A47" s="241"/>
      <c r="B47" s="146" t="s">
        <v>114</v>
      </c>
      <c r="C47" s="147"/>
      <c r="D47" s="148"/>
      <c r="E47" s="621">
        <f>E42+E44</f>
        <v>34777192.509999998</v>
      </c>
      <c r="F47" s="133"/>
      <c r="G47" s="621">
        <f>G42+G44</f>
        <v>36573701.015499935</v>
      </c>
      <c r="H47" s="396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Y47" s="241"/>
      <c r="Z47" s="241"/>
      <c r="AA47" s="241"/>
      <c r="AB47" s="241"/>
      <c r="AC47" s="241"/>
      <c r="AD47" s="241"/>
      <c r="AE47" s="241"/>
      <c r="AF47" s="241"/>
      <c r="AG47" s="241"/>
      <c r="AH47" s="241"/>
      <c r="AI47" s="241"/>
      <c r="AJ47" s="241"/>
      <c r="AK47" s="241"/>
      <c r="AL47" s="241"/>
      <c r="AM47" s="241"/>
      <c r="AN47" s="241"/>
      <c r="AO47" s="241"/>
      <c r="AP47" s="241"/>
      <c r="AQ47" s="241"/>
      <c r="AR47" s="241"/>
      <c r="AS47" s="241"/>
      <c r="AT47" s="241"/>
      <c r="AU47" s="241"/>
      <c r="AV47" s="241"/>
      <c r="AW47" s="241"/>
      <c r="AX47" s="241"/>
      <c r="AY47" s="241"/>
      <c r="AZ47" s="241"/>
      <c r="BA47" s="241"/>
      <c r="BB47" s="241"/>
      <c r="BC47" s="241"/>
      <c r="BD47" s="241"/>
      <c r="BE47" s="241"/>
      <c r="BF47" s="241"/>
      <c r="BG47" s="241"/>
      <c r="BH47" s="241"/>
      <c r="BI47" s="241"/>
      <c r="BJ47" s="241"/>
      <c r="BK47" s="241"/>
      <c r="BL47" s="241"/>
      <c r="BM47" s="241"/>
      <c r="BN47" s="241"/>
      <c r="BO47" s="241"/>
      <c r="BP47" s="241"/>
      <c r="BQ47" s="241"/>
      <c r="BR47" s="241"/>
      <c r="BS47" s="241"/>
      <c r="BT47" s="241"/>
      <c r="BU47" s="241"/>
      <c r="BV47" s="241"/>
      <c r="BW47" s="241"/>
      <c r="BX47" s="241"/>
      <c r="BY47" s="241"/>
      <c r="BZ47" s="241"/>
      <c r="CA47" s="241"/>
      <c r="CB47" s="241"/>
      <c r="CC47" s="241"/>
      <c r="CD47" s="241"/>
      <c r="CE47" s="241"/>
      <c r="CF47" s="241"/>
      <c r="CG47" s="241"/>
      <c r="CH47" s="241"/>
      <c r="CI47" s="241"/>
      <c r="CJ47" s="241"/>
      <c r="CK47" s="241"/>
      <c r="CL47" s="241"/>
      <c r="CM47" s="241"/>
      <c r="CN47" s="241"/>
      <c r="CO47" s="241"/>
      <c r="CP47" s="241"/>
      <c r="CQ47" s="241"/>
      <c r="CR47" s="241"/>
      <c r="CS47" s="241"/>
      <c r="CT47" s="241"/>
      <c r="CU47" s="241"/>
      <c r="CV47" s="241"/>
      <c r="CW47" s="241"/>
      <c r="CX47" s="241"/>
      <c r="CY47" s="241"/>
      <c r="CZ47" s="241"/>
      <c r="DA47" s="241"/>
      <c r="DB47" s="241"/>
      <c r="DC47" s="241"/>
      <c r="DD47" s="241"/>
      <c r="DE47" s="241"/>
      <c r="DF47" s="241"/>
      <c r="DG47" s="241"/>
      <c r="DH47" s="241"/>
      <c r="DI47" s="241"/>
      <c r="DJ47" s="241"/>
      <c r="DK47" s="241"/>
      <c r="DL47" s="241"/>
      <c r="DM47" s="241"/>
      <c r="DN47" s="241"/>
      <c r="DO47" s="241"/>
      <c r="DP47" s="241"/>
      <c r="DQ47" s="241"/>
      <c r="DR47" s="241"/>
      <c r="DS47" s="241"/>
      <c r="DT47" s="241"/>
      <c r="DU47" s="241"/>
      <c r="DV47" s="241"/>
      <c r="DW47" s="241"/>
      <c r="DX47" s="241"/>
      <c r="DY47" s="241"/>
      <c r="DZ47" s="241"/>
      <c r="EA47" s="241"/>
      <c r="EB47" s="241"/>
      <c r="EC47" s="241"/>
      <c r="ED47" s="241"/>
      <c r="EE47" s="241"/>
      <c r="EF47" s="241"/>
      <c r="EG47" s="241"/>
      <c r="EH47" s="241"/>
      <c r="EI47" s="241"/>
      <c r="EJ47" s="241"/>
      <c r="EK47" s="241"/>
      <c r="EL47" s="241"/>
      <c r="EM47" s="241"/>
      <c r="EN47" s="241"/>
      <c r="EO47" s="241"/>
      <c r="EP47" s="241"/>
      <c r="EQ47" s="241"/>
      <c r="ER47" s="241"/>
      <c r="ES47" s="241"/>
      <c r="ET47" s="241"/>
      <c r="EU47" s="241"/>
      <c r="EV47" s="241"/>
      <c r="EW47" s="241"/>
      <c r="EX47" s="241"/>
      <c r="EY47" s="241"/>
      <c r="EZ47" s="241"/>
      <c r="FA47" s="241"/>
      <c r="FB47" s="241"/>
      <c r="FC47" s="241"/>
      <c r="FD47" s="241"/>
      <c r="FE47" s="241"/>
      <c r="FF47" s="241"/>
      <c r="FG47" s="241"/>
      <c r="FH47" s="241"/>
      <c r="FI47" s="241"/>
      <c r="FJ47" s="241"/>
      <c r="FK47" s="241"/>
      <c r="FL47" s="241"/>
      <c r="FM47" s="241"/>
      <c r="FN47" s="241"/>
      <c r="FO47" s="241"/>
      <c r="FP47" s="241"/>
      <c r="FQ47" s="241"/>
      <c r="FR47" s="241"/>
      <c r="FS47" s="241"/>
      <c r="FT47" s="241"/>
      <c r="FU47" s="241"/>
      <c r="FV47" s="241"/>
      <c r="FW47" s="241"/>
      <c r="FX47" s="241"/>
      <c r="FY47" s="241"/>
      <c r="FZ47" s="241"/>
      <c r="GA47" s="241"/>
      <c r="GB47" s="241"/>
      <c r="GC47" s="241"/>
      <c r="GD47" s="241"/>
      <c r="GE47" s="241"/>
      <c r="GF47" s="241"/>
      <c r="GG47" s="241"/>
      <c r="GH47" s="241"/>
      <c r="GI47" s="241"/>
      <c r="GJ47" s="241"/>
      <c r="GK47" s="241"/>
      <c r="GL47" s="241"/>
      <c r="GM47" s="241"/>
      <c r="GN47" s="241"/>
      <c r="GO47" s="241"/>
      <c r="GP47" s="241"/>
      <c r="GQ47" s="241"/>
      <c r="GR47" s="241"/>
      <c r="GS47" s="241"/>
      <c r="GT47" s="241"/>
      <c r="GU47" s="241"/>
      <c r="GV47" s="241"/>
      <c r="GW47" s="241"/>
      <c r="GX47" s="241"/>
      <c r="GY47" s="241"/>
      <c r="GZ47" s="241"/>
      <c r="HA47" s="241"/>
      <c r="HB47" s="241"/>
      <c r="HC47" s="241"/>
      <c r="HD47" s="241"/>
      <c r="HE47" s="241"/>
      <c r="HF47" s="241"/>
      <c r="HG47" s="241"/>
      <c r="HH47" s="241"/>
      <c r="HI47" s="241"/>
      <c r="HJ47" s="241"/>
      <c r="HK47" s="241"/>
      <c r="HL47" s="241"/>
      <c r="HM47" s="241"/>
      <c r="HN47" s="241"/>
      <c r="HO47" s="241"/>
      <c r="HP47" s="241"/>
      <c r="HQ47" s="241"/>
      <c r="HR47" s="241"/>
      <c r="HS47" s="241"/>
      <c r="HT47" s="241"/>
      <c r="HU47" s="241"/>
      <c r="HV47" s="241"/>
      <c r="HW47" s="241"/>
      <c r="HX47" s="241"/>
      <c r="HY47" s="241"/>
      <c r="HZ47" s="241"/>
      <c r="IA47" s="241"/>
      <c r="IB47" s="241"/>
      <c r="IC47" s="241"/>
      <c r="ID47" s="241"/>
      <c r="IE47" s="241"/>
      <c r="IF47" s="241"/>
      <c r="IG47" s="241"/>
      <c r="IH47" s="241"/>
      <c r="II47" s="241"/>
      <c r="IJ47" s="241"/>
      <c r="IK47" s="241"/>
      <c r="IL47" s="241"/>
      <c r="IM47" s="241"/>
      <c r="IN47" s="241"/>
      <c r="IO47" s="241"/>
      <c r="IP47" s="241"/>
      <c r="IQ47" s="241"/>
      <c r="IR47" s="241"/>
      <c r="IS47" s="241"/>
      <c r="IT47" s="241"/>
      <c r="IU47" s="241"/>
      <c r="IV47" s="241"/>
      <c r="IW47" s="241"/>
    </row>
    <row r="48" spans="1:257" ht="15.75" thickTop="1" x14ac:dyDescent="0.25">
      <c r="B48" s="149"/>
      <c r="C48" s="150"/>
      <c r="D48" s="151"/>
      <c r="E48" s="152"/>
      <c r="F48" s="152"/>
      <c r="G48" s="153"/>
      <c r="H48" s="154"/>
    </row>
    <row r="49" spans="2:12" x14ac:dyDescent="0.25">
      <c r="B49" s="155" t="s">
        <v>115</v>
      </c>
      <c r="C49" s="156"/>
      <c r="D49" s="157"/>
      <c r="E49" s="159">
        <f>E31-E47</f>
        <v>12512067.170000002</v>
      </c>
      <c r="F49" s="158"/>
      <c r="G49" s="159">
        <f>G31-G47</f>
        <v>23735324.844500065</v>
      </c>
      <c r="H49" s="157"/>
    </row>
    <row r="50" spans="2:12" x14ac:dyDescent="0.25">
      <c r="B50" s="127" t="s">
        <v>116</v>
      </c>
      <c r="C50" s="125"/>
      <c r="D50" s="126"/>
      <c r="E50" s="129">
        <v>0</v>
      </c>
      <c r="F50" s="129"/>
      <c r="G50" s="160">
        <v>0</v>
      </c>
      <c r="H50" s="126"/>
    </row>
    <row r="51" spans="2:12" x14ac:dyDescent="0.25">
      <c r="B51" s="161" t="s">
        <v>117</v>
      </c>
      <c r="C51" s="162"/>
      <c r="D51" s="154"/>
      <c r="E51" s="163">
        <f>E49-E50</f>
        <v>12512067.170000002</v>
      </c>
      <c r="F51" s="152"/>
      <c r="G51" s="163">
        <f>G49-G50</f>
        <v>23735324.844500065</v>
      </c>
      <c r="H51" s="154"/>
      <c r="J51" s="139"/>
    </row>
    <row r="53" spans="2:12" x14ac:dyDescent="0.25">
      <c r="B53" s="164" t="s">
        <v>118</v>
      </c>
      <c r="C53" s="156"/>
      <c r="D53" s="156"/>
      <c r="E53" s="156"/>
      <c r="F53" s="156"/>
      <c r="G53" s="156"/>
      <c r="H53" s="157"/>
      <c r="J53" s="183"/>
    </row>
    <row r="54" spans="2:12" x14ac:dyDescent="0.25">
      <c r="B54" s="165">
        <v>1</v>
      </c>
      <c r="C54" s="128" t="s">
        <v>119</v>
      </c>
      <c r="D54" s="166">
        <v>0.3</v>
      </c>
      <c r="E54" s="130">
        <v>3753620.1510000005</v>
      </c>
      <c r="F54" s="129"/>
      <c r="G54" s="167">
        <f>$G$51*D54</f>
        <v>7120597.4533500196</v>
      </c>
      <c r="H54" s="126"/>
      <c r="J54" s="166"/>
      <c r="K54" s="602"/>
      <c r="L54" s="139"/>
    </row>
    <row r="55" spans="2:12" x14ac:dyDescent="0.25">
      <c r="B55" s="165">
        <v>2</v>
      </c>
      <c r="C55" s="378" t="s">
        <v>120</v>
      </c>
      <c r="D55" s="166">
        <v>0.1</v>
      </c>
      <c r="E55" s="130">
        <v>1251206.7170000002</v>
      </c>
      <c r="F55" s="129"/>
      <c r="G55" s="167">
        <f t="shared" ref="G55:G57" si="1">$G$51*D55</f>
        <v>2373532.4844500064</v>
      </c>
      <c r="H55" s="126"/>
      <c r="J55" s="166"/>
      <c r="K55" s="169"/>
      <c r="L55" s="139"/>
    </row>
    <row r="56" spans="2:12" x14ac:dyDescent="0.25">
      <c r="B56" s="165">
        <v>3</v>
      </c>
      <c r="C56" s="128" t="s">
        <v>121</v>
      </c>
      <c r="D56" s="166">
        <v>0.1</v>
      </c>
      <c r="E56" s="130">
        <v>1251206.7170000002</v>
      </c>
      <c r="F56" s="129"/>
      <c r="G56" s="167">
        <f t="shared" si="1"/>
        <v>2373532.4844500064</v>
      </c>
      <c r="H56" s="126"/>
      <c r="J56" s="166"/>
      <c r="K56" s="169"/>
      <c r="L56" s="139"/>
    </row>
    <row r="57" spans="2:12" x14ac:dyDescent="0.25">
      <c r="B57" s="165">
        <v>4</v>
      </c>
      <c r="C57" s="140" t="s">
        <v>122</v>
      </c>
      <c r="D57" s="166"/>
      <c r="E57" s="129">
        <v>0</v>
      </c>
      <c r="F57" s="129"/>
      <c r="G57" s="167">
        <f t="shared" si="1"/>
        <v>0</v>
      </c>
      <c r="H57" s="126"/>
      <c r="J57" s="166"/>
    </row>
    <row r="58" spans="2:12" x14ac:dyDescent="0.25">
      <c r="B58" s="165">
        <v>5</v>
      </c>
      <c r="C58" s="128" t="s">
        <v>123</v>
      </c>
      <c r="D58" s="166">
        <v>0.25</v>
      </c>
      <c r="E58" s="130">
        <v>3128016.7925000004</v>
      </c>
      <c r="F58" s="129"/>
      <c r="G58" s="167">
        <f>$G$51*D58</f>
        <v>5933831.2111250162</v>
      </c>
      <c r="H58" s="126"/>
      <c r="J58" s="166"/>
    </row>
    <row r="59" spans="2:12" x14ac:dyDescent="0.25">
      <c r="B59" s="165">
        <v>6</v>
      </c>
      <c r="C59" s="128" t="s">
        <v>124</v>
      </c>
      <c r="D59" s="166">
        <v>0.25</v>
      </c>
      <c r="E59" s="130">
        <v>3128016.7925000004</v>
      </c>
      <c r="F59" s="129"/>
      <c r="G59" s="171">
        <f>$G$51*D59</f>
        <v>5933831.2111250162</v>
      </c>
      <c r="H59" s="126"/>
      <c r="J59" s="166"/>
    </row>
    <row r="60" spans="2:12" ht="15.75" thickBot="1" x14ac:dyDescent="0.3">
      <c r="B60" s="127"/>
      <c r="C60" s="167"/>
      <c r="D60" s="166">
        <f>SUM(D54:D59)</f>
        <v>1</v>
      </c>
      <c r="E60" s="172">
        <f>SUM(E54:E59)</f>
        <v>12512067.170000002</v>
      </c>
      <c r="F60" s="129"/>
      <c r="G60" s="172">
        <f>SUM(G54:G59)</f>
        <v>23735324.844500065</v>
      </c>
      <c r="H60" s="126"/>
      <c r="J60" s="170"/>
    </row>
    <row r="61" spans="2:12" x14ac:dyDescent="0.25">
      <c r="B61" s="173"/>
      <c r="C61" s="162"/>
      <c r="D61" s="162"/>
      <c r="E61" s="174">
        <f>E51-E60</f>
        <v>0</v>
      </c>
      <c r="F61" s="162"/>
      <c r="G61" s="174">
        <f>G51-G60</f>
        <v>0</v>
      </c>
      <c r="H61" s="154"/>
    </row>
    <row r="62" spans="2:12" x14ac:dyDescent="0.25">
      <c r="E62" s="139"/>
      <c r="G62" s="175"/>
    </row>
    <row r="63" spans="2:12" x14ac:dyDescent="0.25">
      <c r="D63" s="123" t="str">
        <f>'PERUBAHAN MODAL'!D24</f>
        <v>Balongbesuk, 15 Januari 2025</v>
      </c>
      <c r="G63" s="632"/>
    </row>
    <row r="64" spans="2:12" x14ac:dyDescent="0.25">
      <c r="B64" s="175"/>
      <c r="C64" s="175" t="s">
        <v>125</v>
      </c>
      <c r="D64" s="176" t="s">
        <v>126</v>
      </c>
      <c r="E64" s="176"/>
      <c r="G64" s="177"/>
    </row>
    <row r="66" spans="1:257" x14ac:dyDescent="0.25">
      <c r="C66" s="178"/>
      <c r="G66" s="179"/>
    </row>
    <row r="67" spans="1:257" x14ac:dyDescent="0.25">
      <c r="B67" s="178"/>
      <c r="C67" s="582" t="str">
        <f>NERACA!I39</f>
        <v>DODIK SUSANTO, S.Fil.I</v>
      </c>
      <c r="D67" s="179" t="s">
        <v>231</v>
      </c>
      <c r="E67" s="179"/>
      <c r="F67" s="179"/>
      <c r="G67" s="179"/>
    </row>
    <row r="68" spans="1:257" x14ac:dyDescent="0.25">
      <c r="B68" s="175"/>
      <c r="C68" s="180" t="s">
        <v>232</v>
      </c>
      <c r="D68" s="181" t="s">
        <v>233</v>
      </c>
      <c r="E68" s="181"/>
      <c r="F68" s="181"/>
      <c r="G68" s="177"/>
    </row>
    <row r="71" spans="1:257" x14ac:dyDescent="0.25">
      <c r="B71" s="175" t="s">
        <v>127</v>
      </c>
      <c r="D71" s="175" t="s">
        <v>128</v>
      </c>
    </row>
    <row r="72" spans="1:257" x14ac:dyDescent="0.25">
      <c r="B72" s="180" t="s">
        <v>234</v>
      </c>
      <c r="D72" s="180" t="s">
        <v>236</v>
      </c>
    </row>
    <row r="74" spans="1:257" x14ac:dyDescent="0.25">
      <c r="A74" s="176"/>
      <c r="B74" s="176"/>
      <c r="C74" s="176"/>
      <c r="D74" s="176"/>
      <c r="E74" s="176"/>
      <c r="G74" s="176"/>
      <c r="H74" s="176"/>
      <c r="I74" s="176"/>
      <c r="J74" s="176"/>
      <c r="K74" s="176"/>
      <c r="L74" s="176"/>
      <c r="M74" s="176"/>
      <c r="N74" s="176"/>
      <c r="O74" s="176"/>
      <c r="P74" s="176"/>
      <c r="Q74" s="176"/>
      <c r="R74" s="176"/>
      <c r="S74" s="176"/>
      <c r="T74" s="176"/>
      <c r="U74" s="176"/>
      <c r="V74" s="176"/>
      <c r="W74" s="176"/>
      <c r="X74" s="176"/>
      <c r="Y74" s="176"/>
      <c r="Z74" s="176"/>
      <c r="AA74" s="176"/>
      <c r="AB74" s="176"/>
      <c r="AC74" s="176"/>
      <c r="AD74" s="176"/>
      <c r="AE74" s="176"/>
      <c r="AF74" s="176"/>
      <c r="AG74" s="176"/>
      <c r="AH74" s="176"/>
      <c r="AI74" s="176"/>
      <c r="AJ74" s="176"/>
      <c r="AK74" s="176"/>
      <c r="AL74" s="176"/>
      <c r="AM74" s="176"/>
      <c r="AN74" s="176"/>
      <c r="AO74" s="176"/>
      <c r="AP74" s="176"/>
      <c r="AQ74" s="176"/>
      <c r="AR74" s="176"/>
      <c r="AS74" s="176"/>
      <c r="AT74" s="176"/>
      <c r="AU74" s="176"/>
      <c r="AV74" s="176"/>
      <c r="AW74" s="176"/>
      <c r="AX74" s="176"/>
      <c r="AY74" s="176"/>
      <c r="AZ74" s="176"/>
      <c r="BA74" s="176"/>
      <c r="BB74" s="176"/>
      <c r="BC74" s="176"/>
      <c r="BD74" s="176"/>
      <c r="BE74" s="176"/>
      <c r="BF74" s="176"/>
      <c r="BG74" s="176"/>
      <c r="BH74" s="176"/>
      <c r="BI74" s="176"/>
      <c r="BJ74" s="176"/>
      <c r="BK74" s="176"/>
      <c r="BL74" s="176"/>
      <c r="BM74" s="176"/>
      <c r="BN74" s="176"/>
      <c r="BO74" s="176"/>
      <c r="BP74" s="176"/>
      <c r="BQ74" s="176"/>
      <c r="BR74" s="176"/>
      <c r="BS74" s="176"/>
      <c r="BT74" s="176"/>
      <c r="BU74" s="176"/>
      <c r="BV74" s="176"/>
      <c r="BW74" s="176"/>
      <c r="BX74" s="176"/>
      <c r="BY74" s="176"/>
      <c r="BZ74" s="176"/>
      <c r="CA74" s="176"/>
      <c r="CB74" s="176"/>
      <c r="CC74" s="176"/>
      <c r="CD74" s="176"/>
      <c r="CE74" s="176"/>
      <c r="CF74" s="176"/>
      <c r="CG74" s="176"/>
      <c r="CH74" s="176"/>
      <c r="CI74" s="176"/>
      <c r="CJ74" s="176"/>
      <c r="CK74" s="176"/>
      <c r="CL74" s="176"/>
      <c r="CM74" s="176"/>
      <c r="CN74" s="176"/>
      <c r="CO74" s="176"/>
      <c r="CP74" s="176"/>
      <c r="CQ74" s="176"/>
      <c r="CR74" s="176"/>
      <c r="CS74" s="176"/>
      <c r="CT74" s="176"/>
      <c r="CU74" s="176"/>
      <c r="CV74" s="176"/>
      <c r="CW74" s="176"/>
      <c r="CX74" s="176"/>
      <c r="CY74" s="176"/>
      <c r="CZ74" s="176"/>
      <c r="DA74" s="176"/>
      <c r="DB74" s="176"/>
      <c r="DC74" s="176"/>
      <c r="DD74" s="176"/>
      <c r="DE74" s="176"/>
      <c r="DF74" s="176"/>
      <c r="DG74" s="176"/>
      <c r="DH74" s="176"/>
      <c r="DI74" s="176"/>
      <c r="DJ74" s="176"/>
      <c r="DK74" s="176"/>
      <c r="DL74" s="176"/>
      <c r="DM74" s="176"/>
      <c r="DN74" s="176"/>
      <c r="DO74" s="176"/>
      <c r="DP74" s="176"/>
      <c r="DQ74" s="176"/>
      <c r="DR74" s="176"/>
      <c r="DS74" s="176"/>
      <c r="DT74" s="176"/>
      <c r="DU74" s="176"/>
      <c r="DV74" s="176"/>
      <c r="DW74" s="176"/>
      <c r="DX74" s="176"/>
      <c r="DY74" s="176"/>
      <c r="DZ74" s="176"/>
      <c r="EA74" s="176"/>
      <c r="EB74" s="176"/>
      <c r="EC74" s="176"/>
      <c r="ED74" s="176"/>
      <c r="EE74" s="176"/>
      <c r="EF74" s="176"/>
      <c r="EG74" s="176"/>
      <c r="EH74" s="176"/>
      <c r="EI74" s="176"/>
      <c r="EJ74" s="176"/>
      <c r="EK74" s="176"/>
      <c r="EL74" s="176"/>
      <c r="EM74" s="176"/>
      <c r="EN74" s="176"/>
      <c r="EO74" s="176"/>
      <c r="EP74" s="176"/>
      <c r="EQ74" s="176"/>
      <c r="ER74" s="176"/>
      <c r="ES74" s="176"/>
      <c r="ET74" s="176"/>
      <c r="EU74" s="176"/>
      <c r="EV74" s="176"/>
      <c r="EW74" s="176"/>
      <c r="EX74" s="176"/>
      <c r="EY74" s="176"/>
      <c r="EZ74" s="176"/>
      <c r="FA74" s="176"/>
      <c r="FB74" s="176"/>
      <c r="FC74" s="176"/>
      <c r="FD74" s="176"/>
      <c r="FE74" s="176"/>
      <c r="FF74" s="176"/>
      <c r="FG74" s="176"/>
      <c r="FH74" s="176"/>
      <c r="FI74" s="176"/>
      <c r="FJ74" s="176"/>
      <c r="FK74" s="176"/>
      <c r="FL74" s="176"/>
      <c r="FM74" s="176"/>
      <c r="FN74" s="176"/>
      <c r="FO74" s="176"/>
      <c r="FP74" s="176"/>
      <c r="FQ74" s="176"/>
      <c r="FR74" s="176"/>
      <c r="FS74" s="176"/>
      <c r="FT74" s="176"/>
      <c r="FU74" s="176"/>
      <c r="FV74" s="176"/>
      <c r="FW74" s="176"/>
      <c r="FX74" s="176"/>
      <c r="FY74" s="176"/>
      <c r="FZ74" s="176"/>
      <c r="GA74" s="176"/>
      <c r="GB74" s="176"/>
      <c r="GC74" s="176"/>
      <c r="GD74" s="176"/>
      <c r="GE74" s="176"/>
      <c r="GF74" s="176"/>
      <c r="GG74" s="176"/>
      <c r="GH74" s="176"/>
      <c r="GI74" s="176"/>
      <c r="GJ74" s="176"/>
      <c r="GK74" s="176"/>
      <c r="GL74" s="176"/>
      <c r="GM74" s="176"/>
      <c r="GN74" s="176"/>
      <c r="GO74" s="176"/>
      <c r="GP74" s="176"/>
      <c r="GQ74" s="176"/>
      <c r="GR74" s="176"/>
      <c r="GS74" s="176"/>
      <c r="GT74" s="176"/>
      <c r="GU74" s="176"/>
      <c r="GV74" s="176"/>
      <c r="GW74" s="176"/>
      <c r="GX74" s="176"/>
      <c r="GY74" s="176"/>
      <c r="GZ74" s="176"/>
      <c r="HA74" s="176"/>
      <c r="HB74" s="176"/>
      <c r="HC74" s="176"/>
      <c r="HD74" s="176"/>
      <c r="HE74" s="176"/>
      <c r="HF74" s="176"/>
      <c r="HG74" s="176"/>
      <c r="HH74" s="176"/>
      <c r="HI74" s="176"/>
      <c r="HJ74" s="176"/>
      <c r="HK74" s="176"/>
      <c r="HL74" s="176"/>
      <c r="HM74" s="176"/>
      <c r="HN74" s="176"/>
      <c r="HO74" s="176"/>
      <c r="HP74" s="176"/>
      <c r="HQ74" s="176"/>
      <c r="HR74" s="176"/>
      <c r="HS74" s="176"/>
      <c r="HT74" s="176"/>
      <c r="HU74" s="176"/>
      <c r="HV74" s="176"/>
      <c r="HW74" s="176"/>
      <c r="HX74" s="176"/>
      <c r="HY74" s="176"/>
      <c r="HZ74" s="176"/>
      <c r="IA74" s="176"/>
      <c r="IB74" s="176"/>
      <c r="IC74" s="176"/>
      <c r="ID74" s="176"/>
      <c r="IE74" s="176"/>
      <c r="IF74" s="176"/>
      <c r="IG74" s="176"/>
      <c r="IH74" s="176"/>
      <c r="II74" s="176"/>
      <c r="IJ74" s="176"/>
      <c r="IK74" s="176"/>
      <c r="IL74" s="176"/>
      <c r="IM74" s="176"/>
      <c r="IN74" s="176"/>
      <c r="IO74" s="176"/>
      <c r="IP74" s="176"/>
      <c r="IQ74" s="176"/>
      <c r="IR74" s="176"/>
      <c r="IS74" s="176"/>
      <c r="IT74" s="176"/>
      <c r="IU74" s="176"/>
      <c r="IV74" s="176"/>
      <c r="IW74" s="176"/>
    </row>
    <row r="77" spans="1:257" x14ac:dyDescent="0.25">
      <c r="B77" s="178" t="str">
        <f>NERACA!C39</f>
        <v>SADJI ABDULLAH</v>
      </c>
      <c r="D77" s="178" t="s">
        <v>235</v>
      </c>
    </row>
  </sheetData>
  <mergeCells count="6">
    <mergeCell ref="B33:H33"/>
    <mergeCell ref="B1:H1"/>
    <mergeCell ref="B2:H2"/>
    <mergeCell ref="B3:H3"/>
    <mergeCell ref="B4:H4"/>
    <mergeCell ref="B7:H7"/>
  </mergeCells>
  <pageMargins left="0.67" right="0.39370078740157499" top="0.74803040244969399" bottom="0.74803040244969399" header="0.31496062992126" footer="0.31496062992126"/>
  <pageSetup paperSize="9" scale="82" orientation="portrait" r:id="rId1"/>
  <rowBreaks count="1" manualBreakCount="1">
    <brk id="52" max="7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6"/>
  <sheetViews>
    <sheetView view="pageBreakPreview" zoomScaleNormal="100" zoomScaleSheetLayoutView="100" workbookViewId="0">
      <selection activeCell="M20" sqref="M20"/>
    </sheetView>
  </sheetViews>
  <sheetFormatPr defaultRowHeight="15" x14ac:dyDescent="0.25"/>
  <cols>
    <col min="1" max="1" width="6" customWidth="1"/>
    <col min="2" max="2" width="34.28515625" customWidth="1"/>
    <col min="3" max="3" width="7.85546875" customWidth="1"/>
    <col min="4" max="4" width="10.42578125" customWidth="1"/>
    <col min="5" max="5" width="10" customWidth="1"/>
    <col min="6" max="6" width="18.5703125" customWidth="1"/>
    <col min="7" max="7" width="9.140625" customWidth="1"/>
    <col min="8" max="8" width="12" customWidth="1"/>
    <col min="9" max="9" width="11" bestFit="1" customWidth="1"/>
    <col min="10" max="12" width="10.5703125" bestFit="1" customWidth="1"/>
    <col min="13" max="13" width="13.7109375" customWidth="1"/>
    <col min="14" max="14" width="13.42578125" customWidth="1"/>
    <col min="17" max="17" width="22.28515625" customWidth="1"/>
  </cols>
  <sheetData>
    <row r="1" spans="1:17" ht="19.5" x14ac:dyDescent="0.3">
      <c r="A1" s="29" t="s">
        <v>510</v>
      </c>
      <c r="G1" s="809"/>
    </row>
    <row r="2" spans="1:17" ht="18.75" x14ac:dyDescent="0.3">
      <c r="A2" s="26" t="s">
        <v>356</v>
      </c>
      <c r="G2" s="809"/>
    </row>
    <row r="3" spans="1:17" x14ac:dyDescent="0.25">
      <c r="A3" s="30" t="s">
        <v>680</v>
      </c>
      <c r="G3" s="809"/>
    </row>
    <row r="4" spans="1:17" x14ac:dyDescent="0.25">
      <c r="G4" s="810">
        <v>0.25</v>
      </c>
    </row>
    <row r="5" spans="1:17" ht="30" customHeight="1" x14ac:dyDescent="0.25">
      <c r="A5" s="928" t="s">
        <v>8</v>
      </c>
      <c r="B5" s="928" t="s">
        <v>511</v>
      </c>
      <c r="C5" s="928" t="s">
        <v>5</v>
      </c>
      <c r="D5" s="926" t="s">
        <v>517</v>
      </c>
      <c r="E5" s="930" t="s">
        <v>525</v>
      </c>
      <c r="F5" s="926" t="s">
        <v>518</v>
      </c>
      <c r="G5" s="926" t="s">
        <v>512</v>
      </c>
      <c r="H5" s="926"/>
      <c r="I5" s="926"/>
      <c r="J5" s="926"/>
      <c r="K5" s="926"/>
      <c r="L5" s="926"/>
      <c r="M5" s="926" t="s">
        <v>513</v>
      </c>
      <c r="N5" s="926" t="s">
        <v>514</v>
      </c>
      <c r="O5" s="928" t="s">
        <v>516</v>
      </c>
      <c r="P5" s="928"/>
      <c r="Q5" s="926" t="s">
        <v>515</v>
      </c>
    </row>
    <row r="6" spans="1:17" x14ac:dyDescent="0.25">
      <c r="A6" s="929"/>
      <c r="B6" s="929"/>
      <c r="C6" s="929"/>
      <c r="D6" s="927"/>
      <c r="E6" s="931"/>
      <c r="F6" s="927"/>
      <c r="G6" s="570">
        <v>2020</v>
      </c>
      <c r="H6" s="570">
        <v>2021</v>
      </c>
      <c r="I6" s="570">
        <v>2022</v>
      </c>
      <c r="J6" s="570">
        <v>2023</v>
      </c>
      <c r="K6" s="570">
        <v>2024</v>
      </c>
      <c r="L6" s="570">
        <v>2025</v>
      </c>
      <c r="M6" s="927"/>
      <c r="N6" s="927"/>
      <c r="O6" s="571" t="s">
        <v>530</v>
      </c>
      <c r="P6" s="571" t="s">
        <v>529</v>
      </c>
      <c r="Q6" s="927"/>
    </row>
    <row r="7" spans="1:17" x14ac:dyDescent="0.25">
      <c r="A7" s="423">
        <v>1</v>
      </c>
      <c r="B7" s="423" t="s">
        <v>519</v>
      </c>
      <c r="C7" s="423">
        <v>1</v>
      </c>
      <c r="D7" s="423" t="s">
        <v>520</v>
      </c>
      <c r="E7" s="424" t="s">
        <v>528</v>
      </c>
      <c r="F7" s="425">
        <v>4000000</v>
      </c>
      <c r="G7" s="425">
        <v>0</v>
      </c>
      <c r="H7" s="425">
        <f>F7*$G$4</f>
        <v>1000000</v>
      </c>
      <c r="I7" s="425">
        <f>F7*$G$4</f>
        <v>1000000</v>
      </c>
      <c r="J7" s="425">
        <f>F7*$G$4</f>
        <v>1000000</v>
      </c>
      <c r="K7" s="425">
        <f>F7*$G$4</f>
        <v>1000000</v>
      </c>
      <c r="L7" s="425">
        <v>0</v>
      </c>
      <c r="M7" s="425">
        <f>SUM(G7:L7)</f>
        <v>4000000</v>
      </c>
      <c r="N7" s="425">
        <f>F7-M7</f>
        <v>0</v>
      </c>
      <c r="O7" s="423"/>
      <c r="P7" s="423"/>
      <c r="Q7" s="424" t="s">
        <v>523</v>
      </c>
    </row>
    <row r="8" spans="1:17" x14ac:dyDescent="0.25">
      <c r="A8" s="423">
        <v>2</v>
      </c>
      <c r="B8" s="424" t="s">
        <v>493</v>
      </c>
      <c r="C8" s="423">
        <v>1</v>
      </c>
      <c r="D8" s="424" t="s">
        <v>527</v>
      </c>
      <c r="E8" s="424" t="s">
        <v>526</v>
      </c>
      <c r="F8" s="425">
        <v>3000000</v>
      </c>
      <c r="G8" s="425"/>
      <c r="H8" s="425">
        <f>F8*$G$4/2</f>
        <v>375000</v>
      </c>
      <c r="I8" s="425">
        <f t="shared" ref="I8:I13" si="0">F8*$G$4</f>
        <v>750000</v>
      </c>
      <c r="J8" s="425">
        <f t="shared" ref="J8:J14" si="1">F8*$G$4</f>
        <v>750000</v>
      </c>
      <c r="K8" s="425">
        <f>F8*$G$4</f>
        <v>750000</v>
      </c>
      <c r="L8" s="425">
        <v>374999</v>
      </c>
      <c r="M8" s="425">
        <f>SUM(G8:L8)</f>
        <v>2999999</v>
      </c>
      <c r="N8" s="425">
        <f>F8-M8</f>
        <v>1</v>
      </c>
      <c r="O8" s="423"/>
      <c r="P8" s="423"/>
      <c r="Q8" s="424" t="s">
        <v>523</v>
      </c>
    </row>
    <row r="9" spans="1:17" x14ac:dyDescent="0.25">
      <c r="A9" s="423">
        <v>3</v>
      </c>
      <c r="B9" s="424" t="s">
        <v>493</v>
      </c>
      <c r="C9" s="423">
        <v>1</v>
      </c>
      <c r="D9" s="424" t="s">
        <v>520</v>
      </c>
      <c r="E9" s="424" t="s">
        <v>526</v>
      </c>
      <c r="F9" s="425">
        <v>305000</v>
      </c>
      <c r="G9" s="425"/>
      <c r="H9" s="425">
        <f>F9*$G$4/2</f>
        <v>38125</v>
      </c>
      <c r="I9" s="425">
        <f t="shared" si="0"/>
        <v>76250</v>
      </c>
      <c r="J9" s="425">
        <f t="shared" si="1"/>
        <v>76250</v>
      </c>
      <c r="K9" s="425">
        <f>F9*$G$4</f>
        <v>76250</v>
      </c>
      <c r="L9" s="425">
        <v>38124</v>
      </c>
      <c r="M9" s="425">
        <f>SUM(G9:L9)</f>
        <v>304999</v>
      </c>
      <c r="N9" s="425">
        <f>F9-M9</f>
        <v>1</v>
      </c>
      <c r="O9" s="423"/>
      <c r="P9" s="423"/>
      <c r="Q9" s="424" t="s">
        <v>523</v>
      </c>
    </row>
    <row r="10" spans="1:17" x14ac:dyDescent="0.25">
      <c r="A10" s="423">
        <v>4</v>
      </c>
      <c r="B10" s="424" t="s">
        <v>521</v>
      </c>
      <c r="C10" s="423">
        <v>1</v>
      </c>
      <c r="D10" s="424" t="s">
        <v>520</v>
      </c>
      <c r="E10" s="424" t="s">
        <v>539</v>
      </c>
      <c r="F10" s="425">
        <v>750000</v>
      </c>
      <c r="G10" s="425"/>
      <c r="H10" s="425">
        <f>F10*$G$4/2</f>
        <v>93750</v>
      </c>
      <c r="I10" s="425">
        <f t="shared" si="0"/>
        <v>187500</v>
      </c>
      <c r="J10" s="425">
        <f t="shared" si="1"/>
        <v>187500</v>
      </c>
      <c r="K10" s="425">
        <f t="shared" ref="K10:K14" si="2">F10*$G$4</f>
        <v>187500</v>
      </c>
      <c r="L10" s="425">
        <v>93749</v>
      </c>
      <c r="M10" s="425">
        <f t="shared" ref="M10:M12" si="3">SUM(G10:L10)</f>
        <v>749999</v>
      </c>
      <c r="N10" s="425">
        <f t="shared" ref="N10:N17" si="4">F10-M10</f>
        <v>1</v>
      </c>
      <c r="O10" s="423"/>
      <c r="P10" s="423"/>
      <c r="Q10" s="424" t="s">
        <v>524</v>
      </c>
    </row>
    <row r="11" spans="1:17" x14ac:dyDescent="0.25">
      <c r="A11" s="423">
        <v>5</v>
      </c>
      <c r="B11" s="424" t="s">
        <v>522</v>
      </c>
      <c r="C11" s="423">
        <v>1</v>
      </c>
      <c r="D11" s="424" t="s">
        <v>520</v>
      </c>
      <c r="E11" s="424" t="s">
        <v>539</v>
      </c>
      <c r="F11" s="425">
        <v>550000</v>
      </c>
      <c r="G11" s="425"/>
      <c r="H11" s="425">
        <f>F11*$G$4/2</f>
        <v>68750</v>
      </c>
      <c r="I11" s="425">
        <f t="shared" si="0"/>
        <v>137500</v>
      </c>
      <c r="J11" s="425">
        <f t="shared" si="1"/>
        <v>137500</v>
      </c>
      <c r="K11" s="425">
        <f t="shared" si="2"/>
        <v>137500</v>
      </c>
      <c r="L11" s="425">
        <v>68749</v>
      </c>
      <c r="M11" s="425">
        <f t="shared" si="3"/>
        <v>549999</v>
      </c>
      <c r="N11" s="425">
        <f t="shared" si="4"/>
        <v>1</v>
      </c>
      <c r="O11" s="423"/>
      <c r="P11" s="423"/>
      <c r="Q11" s="424" t="s">
        <v>524</v>
      </c>
    </row>
    <row r="12" spans="1:17" x14ac:dyDescent="0.25">
      <c r="A12" s="423">
        <v>6</v>
      </c>
      <c r="B12" s="489" t="s">
        <v>609</v>
      </c>
      <c r="C12" s="423">
        <v>1</v>
      </c>
      <c r="D12" s="423"/>
      <c r="E12" s="423">
        <v>2022</v>
      </c>
      <c r="F12" s="425">
        <v>7200000</v>
      </c>
      <c r="G12" s="425"/>
      <c r="H12" s="425"/>
      <c r="I12" s="425">
        <f>F12*$G$4</f>
        <v>1800000</v>
      </c>
      <c r="J12" s="425">
        <f t="shared" si="1"/>
        <v>1800000</v>
      </c>
      <c r="K12" s="425">
        <f t="shared" si="2"/>
        <v>1800000</v>
      </c>
      <c r="L12" s="425">
        <f t="shared" ref="L12:L15" si="5">F12*$G$4</f>
        <v>1800000</v>
      </c>
      <c r="M12" s="425">
        <f t="shared" si="3"/>
        <v>7200000</v>
      </c>
      <c r="N12" s="425">
        <f t="shared" si="4"/>
        <v>0</v>
      </c>
      <c r="O12" s="423"/>
      <c r="P12" s="423"/>
      <c r="Q12" s="423" t="s">
        <v>676</v>
      </c>
    </row>
    <row r="13" spans="1:17" x14ac:dyDescent="0.25">
      <c r="A13" s="423">
        <v>7</v>
      </c>
      <c r="B13" s="424" t="s">
        <v>610</v>
      </c>
      <c r="C13" s="423">
        <v>1</v>
      </c>
      <c r="D13" s="423"/>
      <c r="E13" s="423">
        <v>2022</v>
      </c>
      <c r="F13" s="497">
        <v>2520000</v>
      </c>
      <c r="G13" s="425"/>
      <c r="H13" s="425"/>
      <c r="I13" s="425">
        <f t="shared" si="0"/>
        <v>630000</v>
      </c>
      <c r="J13" s="425">
        <f t="shared" si="1"/>
        <v>630000</v>
      </c>
      <c r="K13" s="425">
        <f t="shared" si="2"/>
        <v>630000</v>
      </c>
      <c r="L13" s="425">
        <f t="shared" si="5"/>
        <v>630000</v>
      </c>
      <c r="M13" s="425">
        <f>SUM(G13:L13)</f>
        <v>2520000</v>
      </c>
      <c r="N13" s="425">
        <f t="shared" si="4"/>
        <v>0</v>
      </c>
      <c r="O13" s="423"/>
      <c r="P13" s="423"/>
      <c r="Q13" s="423" t="s">
        <v>671</v>
      </c>
    </row>
    <row r="14" spans="1:17" x14ac:dyDescent="0.25">
      <c r="A14" s="423">
        <v>9</v>
      </c>
      <c r="B14" s="379" t="s">
        <v>708</v>
      </c>
      <c r="C14" s="423">
        <v>1</v>
      </c>
      <c r="D14" s="423"/>
      <c r="E14" s="423">
        <v>2023</v>
      </c>
      <c r="F14" s="497">
        <v>1500000</v>
      </c>
      <c r="G14" s="425"/>
      <c r="H14" s="425"/>
      <c r="I14" s="425"/>
      <c r="J14" s="425">
        <f t="shared" si="1"/>
        <v>375000</v>
      </c>
      <c r="K14" s="425">
        <f t="shared" si="2"/>
        <v>375000</v>
      </c>
      <c r="L14" s="425">
        <f t="shared" si="5"/>
        <v>375000</v>
      </c>
      <c r="M14" s="425">
        <f t="shared" ref="M14:M17" si="6">SUM(G14:L14)</f>
        <v>1125000</v>
      </c>
      <c r="N14" s="425">
        <f t="shared" si="4"/>
        <v>375000</v>
      </c>
      <c r="O14" s="423"/>
      <c r="P14" s="423"/>
      <c r="Q14" s="424" t="s">
        <v>713</v>
      </c>
    </row>
    <row r="15" spans="1:17" x14ac:dyDescent="0.25">
      <c r="A15" s="423"/>
      <c r="B15" s="379" t="s">
        <v>864</v>
      </c>
      <c r="C15" s="423">
        <v>1</v>
      </c>
      <c r="D15" s="423"/>
      <c r="E15" s="423">
        <v>2025</v>
      </c>
      <c r="F15" s="497">
        <v>1200000</v>
      </c>
      <c r="G15" s="425"/>
      <c r="H15" s="425"/>
      <c r="I15" s="425"/>
      <c r="J15" s="425"/>
      <c r="K15" s="425"/>
      <c r="L15" s="425">
        <f t="shared" si="5"/>
        <v>300000</v>
      </c>
      <c r="M15" s="425">
        <f t="shared" si="6"/>
        <v>300000</v>
      </c>
      <c r="N15" s="425">
        <f t="shared" si="4"/>
        <v>900000</v>
      </c>
      <c r="O15" s="423"/>
      <c r="P15" s="423"/>
      <c r="Q15" s="424" t="s">
        <v>865</v>
      </c>
    </row>
    <row r="16" spans="1:17" x14ac:dyDescent="0.25">
      <c r="A16" s="423"/>
      <c r="B16" s="379"/>
      <c r="C16" s="423"/>
      <c r="D16" s="423"/>
      <c r="E16" s="423"/>
      <c r="F16" s="497"/>
      <c r="G16" s="425"/>
      <c r="H16" s="425"/>
      <c r="I16" s="425"/>
      <c r="J16" s="425"/>
      <c r="K16" s="425"/>
      <c r="L16" s="425"/>
      <c r="M16" s="425">
        <f t="shared" si="6"/>
        <v>0</v>
      </c>
      <c r="N16" s="425">
        <f t="shared" si="4"/>
        <v>0</v>
      </c>
      <c r="O16" s="423"/>
      <c r="P16" s="423"/>
      <c r="Q16" s="424"/>
    </row>
    <row r="17" spans="1:17" x14ac:dyDescent="0.25">
      <c r="A17" s="423"/>
      <c r="B17" s="379"/>
      <c r="C17" s="423"/>
      <c r="D17" s="423"/>
      <c r="E17" s="423"/>
      <c r="F17" s="497"/>
      <c r="G17" s="425"/>
      <c r="H17" s="425"/>
      <c r="I17" s="425"/>
      <c r="J17" s="425"/>
      <c r="K17" s="425"/>
      <c r="L17" s="425"/>
      <c r="M17" s="425">
        <f t="shared" si="6"/>
        <v>0</v>
      </c>
      <c r="N17" s="425">
        <f t="shared" si="4"/>
        <v>0</v>
      </c>
      <c r="O17" s="423"/>
      <c r="P17" s="423"/>
      <c r="Q17" s="424"/>
    </row>
    <row r="18" spans="1:17" x14ac:dyDescent="0.25">
      <c r="A18" s="426"/>
      <c r="B18" s="426"/>
      <c r="C18" s="426"/>
      <c r="D18" s="426"/>
      <c r="E18" s="426"/>
      <c r="F18" s="427">
        <f>SUM(F7:F17)</f>
        <v>21025000</v>
      </c>
      <c r="G18" s="427">
        <f t="shared" ref="G18:M18" si="7">SUM(G7:G17)</f>
        <v>0</v>
      </c>
      <c r="H18" s="427">
        <f t="shared" si="7"/>
        <v>1575625</v>
      </c>
      <c r="I18" s="427">
        <f t="shared" si="7"/>
        <v>4581250</v>
      </c>
      <c r="J18" s="427">
        <f t="shared" si="7"/>
        <v>4956250</v>
      </c>
      <c r="K18" s="427">
        <f t="shared" si="7"/>
        <v>4956250</v>
      </c>
      <c r="L18" s="427">
        <f t="shared" si="7"/>
        <v>3680621</v>
      </c>
      <c r="M18" s="427">
        <f t="shared" si="7"/>
        <v>19749996</v>
      </c>
      <c r="N18" s="427">
        <f>SUM(N7:N17)</f>
        <v>1275004</v>
      </c>
      <c r="O18" s="426"/>
      <c r="P18" s="426"/>
      <c r="Q18" s="426"/>
    </row>
    <row r="19" spans="1:17" x14ac:dyDescent="0.25">
      <c r="F19" s="342"/>
      <c r="M19" s="716"/>
    </row>
    <row r="20" spans="1:17" x14ac:dyDescent="0.25">
      <c r="A20" s="286"/>
      <c r="B20" s="554"/>
      <c r="C20" s="286"/>
      <c r="D20" s="176"/>
      <c r="E20" s="177"/>
      <c r="F20" s="460"/>
      <c r="I20" s="460" t="s">
        <v>715</v>
      </c>
    </row>
    <row r="21" spans="1:17" x14ac:dyDescent="0.25">
      <c r="A21" s="286"/>
      <c r="B21" s="395"/>
      <c r="C21" s="286"/>
      <c r="D21" s="176" t="str">
        <f>'PERUBAHAN MODAL'!B25</f>
        <v>Dilaporkan Oleh;</v>
      </c>
      <c r="E21" s="176"/>
      <c r="F21" s="176"/>
      <c r="I21" s="176" t="str">
        <f>'PERUBAHAN MODAL'!D25</f>
        <v>Dibuat Oleh;</v>
      </c>
    </row>
    <row r="22" spans="1:17" x14ac:dyDescent="0.25">
      <c r="A22" s="286"/>
      <c r="B22" s="286"/>
      <c r="C22" s="286"/>
      <c r="D22" s="179"/>
      <c r="E22" s="179"/>
      <c r="F22" s="176"/>
      <c r="I22" s="176"/>
    </row>
    <row r="23" spans="1:17" x14ac:dyDescent="0.25">
      <c r="A23" s="286"/>
      <c r="B23" s="286"/>
      <c r="C23" s="286"/>
      <c r="D23" s="179"/>
      <c r="E23" s="179"/>
      <c r="F23" s="176"/>
      <c r="I23" s="176"/>
    </row>
    <row r="24" spans="1:17" x14ac:dyDescent="0.25">
      <c r="D24" s="179"/>
      <c r="E24" s="179"/>
      <c r="F24" s="176"/>
      <c r="I24" s="176"/>
    </row>
    <row r="25" spans="1:17" x14ac:dyDescent="0.25">
      <c r="D25" s="179" t="str">
        <f>'PERUBAHAN MODAL'!B29</f>
        <v>DODIK SUSANTO, S.Fil.I</v>
      </c>
      <c r="E25" s="177"/>
      <c r="F25" s="179"/>
      <c r="I25" s="179" t="str">
        <f>'PERUBAHAN MODAL'!D29</f>
        <v>MAMIK KURNIAWATI</v>
      </c>
    </row>
    <row r="26" spans="1:17" x14ac:dyDescent="0.25">
      <c r="D26" s="176" t="str">
        <f>'PERUBAHAN MODAL'!B30</f>
        <v>Direktur BUMDesa "BAROKAH"</v>
      </c>
      <c r="E26" s="176"/>
      <c r="F26" s="176"/>
      <c r="I26" s="585" t="str">
        <f>'PERUBAHAN MODAL'!D30</f>
        <v>Bendahara BUMDesa "BAROKAH"</v>
      </c>
    </row>
  </sheetData>
  <mergeCells count="11">
    <mergeCell ref="Q5:Q6"/>
    <mergeCell ref="G5:L5"/>
    <mergeCell ref="O5:P5"/>
    <mergeCell ref="A5:A6"/>
    <mergeCell ref="B5:B6"/>
    <mergeCell ref="C5:C6"/>
    <mergeCell ref="D5:D6"/>
    <mergeCell ref="F5:F6"/>
    <mergeCell ref="M5:M6"/>
    <mergeCell ref="N5:N6"/>
    <mergeCell ref="E5:E6"/>
  </mergeCells>
  <pageMargins left="0.25" right="0.45" top="0.75" bottom="0.75" header="0.3" footer="0.3"/>
  <pageSetup paperSize="5" scale="85" fitToHeight="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10</vt:i4>
      </vt:variant>
    </vt:vector>
  </HeadingPairs>
  <TitlesOfParts>
    <vt:vector size="29" baseType="lpstr">
      <vt:lpstr>SUM ppob</vt:lpstr>
      <vt:lpstr>hutang sewa</vt:lpstr>
      <vt:lpstr>Sheet1</vt:lpstr>
      <vt:lpstr>BANK</vt:lpstr>
      <vt:lpstr>piutang</vt:lpstr>
      <vt:lpstr>CTH lapak</vt:lpstr>
      <vt:lpstr>SUM LAPAK</vt:lpstr>
      <vt:lpstr>cth sp</vt:lpstr>
      <vt:lpstr>cth gEDUNG</vt:lpstr>
      <vt:lpstr>CTH BUMDES</vt:lpstr>
      <vt:lpstr>sum sp</vt:lpstr>
      <vt:lpstr>gedung</vt:lpstr>
      <vt:lpstr>bumdes</vt:lpstr>
      <vt:lpstr>tabungan</vt:lpstr>
      <vt:lpstr>NERACA</vt:lpstr>
      <vt:lpstr>PERUBAHAN MODAL</vt:lpstr>
      <vt:lpstr>LAPORAN LABA</vt:lpstr>
      <vt:lpstr>AKTIVA</vt:lpstr>
      <vt:lpstr>Notes</vt:lpstr>
      <vt:lpstr>'CTH BUMDES'!Print_Area</vt:lpstr>
      <vt:lpstr>'cth gEDUNG'!Print_Area</vt:lpstr>
      <vt:lpstr>'CTH lapak'!Print_Area</vt:lpstr>
      <vt:lpstr>'cth sp'!Print_Area</vt:lpstr>
      <vt:lpstr>gedung!Print_Area</vt:lpstr>
      <vt:lpstr>'LAPORAN LABA'!Print_Area</vt:lpstr>
      <vt:lpstr>NERACA!Print_Area</vt:lpstr>
      <vt:lpstr>piutang!Print_Area</vt:lpstr>
      <vt:lpstr>'SUM ppob'!Print_Area</vt:lpstr>
      <vt:lpstr>'sum sp'!Print_Area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kholil</cp:lastModifiedBy>
  <cp:lastPrinted>2026-04-17T05:33:43Z</cp:lastPrinted>
  <dcterms:created xsi:type="dcterms:W3CDTF">2018-10-23T11:58:40Z</dcterms:created>
  <dcterms:modified xsi:type="dcterms:W3CDTF">2026-04-17T05:37:35Z</dcterms:modified>
</cp:coreProperties>
</file>